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Valu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<sst xmlns="http://schemas.openxmlformats.org/spreadsheetml/2006/main" count="219" uniqueCount="179">
  <si>
    <t xml:space="preserve">Scaler B2G  |  Assumptions Dashboard  (₹ Cr)</t>
  </si>
  <si>
    <t xml:space="preserve">Blue = input  |  Yellow = key driver  |  Orange = ties to a deck figure  |  Black = formula  |  Green text on P&amp;L = link from this tab</t>
  </si>
  <si>
    <t xml:space="preserve">A.  REVENUE BUILD  —  drives the entire model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</si>
  <si>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</si>
  <si>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</si>
  <si>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</si>
  <si>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</si>
  <si>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</si>
  <si>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Source / Note</t>
  </si>
  <si>
    <t xml:space="preserve">  Central Government Schemes (PMKVY 5.0, MeitY)</t>
  </si>
  <si>
    <t xml:space="preserve">1 contract Q3 FY26 → 8 contracts FY30 at ₹15-19K/candidate</t>
  </si>
  <si>
    <t xml:space="preserve">  PSU Upskilling (anchor segment)</t>
  </si>
  <si>
    <t xml:space="preserve">2 PSU clients FY26 → 18 PSU clients FY30 at ₹35-55K/employee</t>
  </si>
  <si>
    <t xml:space="preserve">  State Government Missions</t>
  </si>
  <si>
    <t xml:space="preserve">Enter FY27 only; 1 → 5 state contracts; lower margin tier</t>
  </si>
  <si>
    <t xml:space="preserve">  University Partnerships</t>
  </si>
  <si>
    <t xml:space="preserve">1 partner FY26 → 18 partners FY30; curriculum IP licensing</t>
  </si>
  <si>
    <t xml:space="preserve">TOTAL REVENUE</t>
  </si>
  <si>
    <t xml:space="preserve">Deck Slide 10/12: FY26=₹2  FY28=₹26  FY30=₹93</t>
  </si>
  <si>
    <t xml:space="preserve">  YoY Revenue Growth</t>
  </si>
  <si>
    <t xml:space="preserve">  FY26–FY30 CAGR</t>
  </si>
  <si>
    <t xml:space="preserve">Deck Slide 10: 5-yr CAGR 160%+</t>
  </si>
  <si>
    <t xml:space="preserve">B.  GROSS MARGINS BY SEGMENT</t>
  </si>
  <si>
    <t xml:space="preserve">  Central Govt Gross Margin</t>
  </si>
  <si>
    <t xml:space="preserve">Deck Slide 9: 58% (after delivery + content)</t>
  </si>
  <si>
    <t xml:space="preserve">  PSU Gross Margin</t>
  </si>
  <si>
    <t xml:space="preserve">Deck Slide 9: 65% (anchor; enterprise-like delivery)</t>
  </si>
  <si>
    <t xml:space="preserve">  State Govt Gross Margin</t>
  </si>
  <si>
    <t xml:space="preserve">Deck Slide 9: 46% (high compliance overhead)</t>
  </si>
  <si>
    <t xml:space="preserve">  University Gross Margin</t>
  </si>
  <si>
    <t xml:space="preserve">Deck Slide 9: 72% (curriculum IP licensing)</t>
  </si>
  <si>
    <t xml:space="preserve">C.  HEADCOUNT &amp; PEOPLE COST</t>
  </si>
  <si>
    <t xml:space="preserve">Total Headcount (FTEs)</t>
  </si>
  <si>
    <t xml:space="preserve">Deck Slide 12: 11 FTEs FY26 → 30 FTEs FY28</t>
  </si>
  <si>
    <t xml:space="preserve">Avg Annual CTC per FTE (₹ Cr)</t>
  </si>
  <si>
    <t xml:space="preserve">Mix: VP ₹55L; BD Mgrs ₹25-32L; Delivery ₹16-22L; rises with seniority</t>
  </si>
  <si>
    <t xml:space="preserve">Total People Cost (₹ Cr)</t>
  </si>
  <si>
    <t xml:space="preserve">HC × CTC; this is the largest single OPEX line</t>
  </si>
  <si>
    <t xml:space="preserve">D.  NON-PEOPLE OPERATING COSTS</t>
  </si>
  <si>
    <t xml:space="preserve">  Technology / Platform Allocation</t>
  </si>
  <si>
    <t xml:space="preserve">Share of Scaler platform cost allocated to B2G</t>
  </si>
  <si>
    <t xml:space="preserve">  Legal, Compliance &amp; Tender Costs</t>
  </si>
  <si>
    <t xml:space="preserve">GeM, NCVET, audits, tender filings</t>
  </si>
  <si>
    <t xml:space="preserve">  Travel &amp; Business Development</t>
  </si>
  <si>
    <t xml:space="preserve">Govt relationship building; PSU site visits</t>
  </si>
  <si>
    <t xml:space="preserve">  Content Development (Y1 one-time + 4% rev refresh)</t>
  </si>
  <si>
    <t xml:space="preserve">Y1: ₹1.5 Cr curriculum adaptation; Y2+ 4% of revenue</t>
  </si>
  <si>
    <t xml:space="preserve">  G&amp;A Allocation (% of revenue)</t>
  </si>
  <si>
    <t xml:space="preserve">Shared services from Scaler parent (computed in P&amp;L)</t>
  </si>
  <si>
    <t xml:space="preserve">  Channel Partner &amp; Govt Liaison Fees (% of revenue)</t>
  </si>
  <si>
    <t xml:space="preserve">Govt sub-contractor + advisor commissions; scales with deal size</t>
  </si>
  <si>
    <t xml:space="preserve">E.  CAPEX, FUNDING &amp; VALUATION</t>
  </si>
  <si>
    <t xml:space="preserve">  Setup Capex FY26 (one-time)</t>
  </si>
  <si>
    <t xml:space="preserve">GeM, CPPP, NCVET portal setup; office systems</t>
  </si>
  <si>
    <t xml:space="preserve">  Annual Maintenance Capex (FY27+)</t>
  </si>
  <si>
    <t xml:space="preserve">Run-rate maintenance</t>
  </si>
  <si>
    <t xml:space="preserve">  Scaler Parent Capital Injection — FY26</t>
  </si>
  <si>
    <t xml:space="preserve">Tranche 1: bridge to Y1 cash burn</t>
  </si>
  <si>
    <t xml:space="preserve">  Scaler Parent Capital Injection — FY27</t>
  </si>
  <si>
    <t xml:space="preserve">Tranche 2: support Y2 working capital</t>
  </si>
  <si>
    <t xml:space="preserve">  Scaler Parent Capital Injection — FY28</t>
  </si>
  <si>
    <t xml:space="preserve">Tranche 3: final tranche</t>
  </si>
  <si>
    <t xml:space="preserve">TOTAL SEED CAPITAL (FY26 + FY27 + FY28)</t>
  </si>
  <si>
    <t xml:space="preserve">Deck Slide 2/10/11: ₹3.5 Cr seed ask</t>
  </si>
  <si>
    <t xml:space="preserve">  WACC / Discount Rate</t>
  </si>
  <si>
    <t xml:space="preserve">Ed-tech new vertical; execution + policy risk</t>
  </si>
  <si>
    <t xml:space="preserve">  Terminal Growth Rate</t>
  </si>
  <si>
    <t xml:space="preserve">Post-FY30 steady state</t>
  </si>
  <si>
    <t xml:space="preserve">  EV/Revenue Multiple (median comps)</t>
  </si>
  <si>
    <t xml:space="preserve">NIIT, TCS iON, TeamLease blended median</t>
  </si>
  <si>
    <t xml:space="preserve">  EV/EBITDA Multiple (median comps)</t>
  </si>
  <si>
    <t xml:space="preserve">Median across 6 ed-tech comps</t>
  </si>
  <si>
    <t xml:space="preserve">  Tax Rate</t>
  </si>
  <si>
    <t xml:space="preserve">Standard corporate; MAT not expected Y1-2</t>
  </si>
  <si>
    <t xml:space="preserve">Scaler B2G  |  P&amp;L + Cash Flow Summary  (₹ Cr)</t>
  </si>
  <si>
    <t xml:space="preserve">All revenue &amp; cost lines link from Assumptions tab.  Change blue cells there → P&amp;L updates here.</t>
  </si>
  <si>
    <t xml:space="preserve">FY26-30 CAGR</t>
  </si>
  <si>
    <t xml:space="preserve">REVENUE  (linked from Assumptions tab)</t>
  </si>
  <si>
    <t xml:space="preserve">  Central Government Schemes</t>
  </si>
  <si>
    <t xml:space="preserve">  PSU Upskilling</t>
  </si>
  <si>
    <t xml:space="preserve">  YoY Growth</t>
  </si>
  <si>
    <t xml:space="preserve">GROSS PROFIT  =  Σ (segment revenue × segment GM)</t>
  </si>
  <si>
    <t xml:space="preserve">  Less: Direct Delivery Cost</t>
  </si>
  <si>
    <t xml:space="preserve">GROSS PROFIT</t>
  </si>
  <si>
    <t xml:space="preserve">  Blended Gross Margin</t>
  </si>
  <si>
    <t xml:space="preserve">OPERATING EXPENSES  (linked from Assumptions)</t>
  </si>
  <si>
    <t xml:space="preserve">  People Cost (HC × CTC)</t>
  </si>
  <si>
    <t xml:space="preserve">  Technology / Platform</t>
  </si>
  <si>
    <t xml:space="preserve">  Legal, Compliance &amp; Tender</t>
  </si>
  <si>
    <t xml:space="preserve">  Content Development</t>
  </si>
  <si>
    <t xml:space="preserve">  General &amp; Administrative (6% of revenue)</t>
  </si>
  <si>
    <t xml:space="preserve">  Channel Partner &amp; Govt Liaison Fees</t>
  </si>
  <si>
    <t xml:space="preserve">TOTAL OPEX</t>
  </si>
  <si>
    <t xml:space="preserve">  Opex as % of Revenue</t>
  </si>
  <si>
    <t xml:space="preserve">EBITDA  (Deck Slide 10: positive FY27 onwards;  FY30 = 28% margin)</t>
  </si>
  <si>
    <t xml:space="preserve">EBITDA</t>
  </si>
  <si>
    <t xml:space="preserve">  EBITDA Margin</t>
  </si>
  <si>
    <t xml:space="preserve">  Status</t>
  </si>
  <si>
    <t xml:space="preserve">DEPRECIATION, TAX &amp; NET PROFIT</t>
  </si>
  <si>
    <t xml:space="preserve">  Less: Depreciation &amp; Amortisation</t>
  </si>
  <si>
    <t xml:space="preserve">EBIT (Operating Profit)</t>
  </si>
  <si>
    <t xml:space="preserve">  Less: Tax (25% on positive EBIT)</t>
  </si>
  <si>
    <t xml:space="preserve">NET PROFIT (PAT)</t>
  </si>
  <si>
    <t xml:space="preserve">CASH FLOW SUMMARY</t>
  </si>
  <si>
    <t xml:space="preserve">  Less: Working Capital Increase  (rev × 90 days × 30%)</t>
  </si>
  <si>
    <t xml:space="preserve">Operating Cash Flow</t>
  </si>
  <si>
    <t xml:space="preserve">  Less: Capex (Setup + Maintenance)</t>
  </si>
  <si>
    <t xml:space="preserve">FREE CASH FLOW</t>
  </si>
  <si>
    <t xml:space="preserve">  Add: Scaler Parent Capital Injection</t>
  </si>
  <si>
    <t xml:space="preserve">Net Change in Cash</t>
  </si>
  <si>
    <t xml:space="preserve">Closing Cash Balance</t>
  </si>
  <si>
    <t xml:space="preserve">KEY METRICS DASHBOARD  —  ties to deck</t>
  </si>
  <si>
    <t xml:space="preserve">Deck reference</t>
  </si>
  <si>
    <t xml:space="preserve">Revenue (₹ Cr)</t>
  </si>
  <si>
    <t xml:space="preserve">Slide 10/12</t>
  </si>
  <si>
    <t xml:space="preserve">EBITDA (₹ Cr)</t>
  </si>
  <si>
    <t xml:space="preserve">EBITDA Margin</t>
  </si>
  <si>
    <t xml:space="preserve">Slide 10: 28% FY30</t>
  </si>
  <si>
    <t xml:space="preserve">PAT (₹ Cr)</t>
  </si>
  <si>
    <t xml:space="preserve">—</t>
  </si>
  <si>
    <t xml:space="preserve">Total Headcount</t>
  </si>
  <si>
    <t xml:space="preserve">Slide 12: 11→30</t>
  </si>
  <si>
    <t xml:space="preserve">Free Cash Flow</t>
  </si>
  <si>
    <t xml:space="preserve">Scaler B2G  |  Valuation  —  DCF + Comparable Multiples  (₹ Cr)</t>
  </si>
  <si>
    <t xml:space="preserve">Deck Slide 10 says ₹360 Cr Implied EV at 3.9x median revenue. DCF is the floor (conservative); comps are the realistic exit value.</t>
  </si>
  <si>
    <t xml:space="preserve">DCF VALUATION  (Discount Rate from Assumptions tab)</t>
  </si>
  <si>
    <t xml:space="preserve">Free Cash Flow (from P&amp;L)</t>
  </si>
  <si>
    <t xml:space="preserve">  Discount Factor</t>
  </si>
  <si>
    <t xml:space="preserve">PV of FCF</t>
  </si>
  <si>
    <t xml:space="preserve">Sum of PV(FCF), FY26-FY30</t>
  </si>
  <si>
    <t xml:space="preserve">Terminal EBITDA (FY30)</t>
  </si>
  <si>
    <t xml:space="preserve">Terminal Value  =  FY30 EBITDA × (1+g) / (WACC − g)</t>
  </si>
  <si>
    <t xml:space="preserve">PV of Terminal Value</t>
  </si>
  <si>
    <t xml:space="preserve">ENTERPRISE VALUE  —  DCF</t>
  </si>
  <si>
    <t xml:space="preserve">Conservative floor</t>
  </si>
  <si>
    <t xml:space="preserve">COMPARABLE COMPANY ANALYSIS</t>
  </si>
  <si>
    <t xml:space="preserve">Company</t>
  </si>
  <si>
    <t xml:space="preserve">EV (₹ Cr)</t>
  </si>
  <si>
    <t xml:space="preserve">EV/Revenue</t>
  </si>
  <si>
    <t xml:space="preserve">EV/EBITDA</t>
  </si>
  <si>
    <t xml:space="preserve">Notes</t>
  </si>
  <si>
    <t xml:space="preserve">NIIT Ltd (Govt segment)</t>
  </si>
  <si>
    <t xml:space="preserve">3.8x</t>
  </si>
  <si>
    <t xml:space="preserve">18.8x</t>
  </si>
  <si>
    <t xml:space="preserve">NSE listed; segment data</t>
  </si>
  <si>
    <t xml:space="preserve">TCS iON (estimate)</t>
  </si>
  <si>
    <t xml:space="preserve">5.0x</t>
  </si>
  <si>
    <t xml:space="preserve">16.7x</t>
  </si>
  <si>
    <t xml:space="preserve">Unlisted; TCS Annual Report</t>
  </si>
  <si>
    <t xml:space="preserve">Simplilearn (Series F)</t>
  </si>
  <si>
    <t xml:space="preserve">4.0x</t>
  </si>
  <si>
    <t xml:space="preserve">25.0x</t>
  </si>
  <si>
    <t xml:space="preserve">2023 valuation</t>
  </si>
  <si>
    <t xml:space="preserve">Coursera Govt segment</t>
  </si>
  <si>
    <t xml:space="preserve">33.3x</t>
  </si>
  <si>
    <t xml:space="preserve">US-focused; premium</t>
  </si>
  <si>
    <t xml:space="preserve">TeamLease Skills</t>
  </si>
  <si>
    <t xml:space="preserve">3.0x</t>
  </si>
  <si>
    <t xml:space="preserve">20.3x</t>
  </si>
  <si>
    <t xml:space="preserve">NSE listed</t>
  </si>
  <si>
    <t xml:space="preserve">IL&amp;FS / Learnet</t>
  </si>
  <si>
    <t xml:space="preserve">2.0x</t>
  </si>
  <si>
    <t xml:space="preserve">15.0x</t>
  </si>
  <si>
    <t xml:space="preserve">Distressed; floor</t>
  </si>
  <si>
    <t xml:space="preserve">MEDIAN</t>
  </si>
  <si>
    <t xml:space="preserve">Used for Scaler valuation</t>
  </si>
  <si>
    <t xml:space="preserve">IMPLIED VALUATION FOR SCALER B2G  (FY30 metrics × comp multiples)</t>
  </si>
  <si>
    <t xml:space="preserve">Basis</t>
  </si>
  <si>
    <t xml:space="preserve">Multiple</t>
  </si>
  <si>
    <t xml:space="preserve">Metric (₹ Cr)</t>
  </si>
  <si>
    <t xml:space="preserve">Implied EV (₹ Cr)</t>
  </si>
  <si>
    <t xml:space="preserve">EV/Revenue @ 3.9x (median comp) × FY30 Revenue</t>
  </si>
  <si>
    <t xml:space="preserve">Deck Slide 10: ₹360 Cr</t>
  </si>
  <si>
    <t xml:space="preserve">EV/EBITDA @ 19.5x (median comp) × FY30 EBITDA</t>
  </si>
  <si>
    <t xml:space="preserve">DCF Valuation (WACC 18%, Terminal Growth 5%)</t>
  </si>
  <si>
    <t xml:space="preserve">TRIANGULATION  —  three independent valuation approaches</t>
  </si>
  <si>
    <t xml:space="preserve">DCF (floor)  vs  EV/Revenue (median)  vs  EV/EBITDA (median)</t>
  </si>
  <si>
    <t xml:space="preserve">  Average of 3 methods</t>
  </si>
  <si>
    <t xml:space="preserve">Triangulated EV — most defensible single number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</si>
</sst>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.00;&quot;(₹&quot;#,##0.00\);\-"/>
    <numFmt numFmtId="166" formatCode="0.0%;\(0.0%\);\-"/>
    <numFmt numFmtId="167" formatCode="#,##0;\(#,##0\);\-"/>
    <numFmt numFmtId="168" formatCode="0.0\x"/>
    <numFmt numFmtId="169" formatCode="0.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61A6E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i val="true"/>
      <sz val="8"/>
      <color rgb="FF061A6E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6600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i val="true"/>
      <sz val="8"/>
      <color rgb="FF061A6E"/>
      <name val="Arial"/>
      <family val="0"/>
      <charset val="1"/>
    </font>
    <font>
      <b val="true"/>
      <i val="true"/>
      <sz val="9"/>
      <color rgb="FF061A6E"/>
      <name val="Arial"/>
      <family val="0"/>
      <charset val="1"/>
    </font>
    <font>
      <b val="true"/>
      <sz val="9"/>
      <color rgb="FF061A6E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EF3FF"/>
        <bgColor rgb="FFF5F5F5"/>
      </patternFill>
    </fill>
    <fill>
      <patternFill patternType="solid">
        <fgColor rgb="FF061A6E"/>
        <bgColor rgb="FF000080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5F5F5"/>
      </patternFill>
    </fill>
    <fill>
      <patternFill patternType="solid">
        <fgColor rgb="FFF5F5F5"/>
        <bgColor rgb="FFEEF3FF"/>
      </patternFill>
    </fill>
    <fill>
      <patternFill patternType="solid">
        <fgColor rgb="FF1557FE"/>
        <bgColor rgb="FF0066CC"/>
      </patternFill>
    </fill>
    <fill>
      <patternFill patternType="solid">
        <fgColor rgb="FFC5D9F1"/>
        <bgColor rgb="FFBFBFB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>
        <color rgb="FF1557FE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4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1" fillId="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5" fillId="5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8" fillId="4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8" fillId="4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5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6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9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1" fillId="4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9" fillId="5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8" fillId="4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9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5" fillId="2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1" fillId="6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1" fillId="8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8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4" fillId="8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5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7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1" fillId="5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8" fillId="5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F"/>
      <rgbColor rgb="FF660066"/>
      <rgbColor rgb="FFFF8080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E699"/>
      <rgbColor rgb="FF99CCFF"/>
      <rgbColor rgb="FFFF99CC"/>
      <rgbColor rgb="FFCC99FF"/>
      <rgbColor rgb="FFFFCC99"/>
      <rgbColor rgb="FF1557FE"/>
      <rgbColor rgb="FF33CCCC"/>
      <rgbColor rgb="FF99CC00"/>
      <rgbColor rgb="FFFFC000"/>
      <rgbColor rgb="FFFF9900"/>
      <rgbColor rgb="FFFF6600"/>
      <rgbColor rgb="FF595959"/>
      <rgbColor rgb="FF969696"/>
      <rgbColor rgb="FF061A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57FE"/>
    <pageSetUpPr fitToPage="false"/>
  </sheetPr>
  <dimension ref="A1:G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6" min="2" style="1" width="13"/>
    <col collapsed="false" customWidth="true" hidden="false" outlineLevel="0" max="7" min="7" style="1" width="3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4" t="s">
        <v>2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5"/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</row>
    <row r="6" customFormat="false" ht="19.4" hidden="false" customHeight="false" outlineLevel="0" collapsed="false">
      <c r="A6" s="7" t="s">
        <v>9</v>
      </c>
      <c r="B6" s="8" t="n">
        <v>0.84</v>
      </c>
      <c r="C6" s="9" t="n">
        <v>2.5</v>
      </c>
      <c r="D6" s="8" t="n">
        <v>6.5</v>
      </c>
      <c r="E6" s="9" t="n">
        <v>14</v>
      </c>
      <c r="F6" s="8" t="n">
        <v>25</v>
      </c>
      <c r="G6" s="10" t="s">
        <v>10</v>
      </c>
    </row>
    <row r="7" customFormat="false" ht="19.4" hidden="false" customHeight="false" outlineLevel="0" collapsed="false">
      <c r="A7" s="7" t="s">
        <v>11</v>
      </c>
      <c r="B7" s="8" t="n">
        <v>0.86</v>
      </c>
      <c r="C7" s="9" t="n">
        <v>6</v>
      </c>
      <c r="D7" s="8" t="n">
        <v>14.5</v>
      </c>
      <c r="E7" s="9" t="n">
        <v>28.5</v>
      </c>
      <c r="F7" s="8" t="n">
        <v>47</v>
      </c>
      <c r="G7" s="10" t="s">
        <v>12</v>
      </c>
    </row>
    <row r="8" customFormat="false" ht="19.4" hidden="false" customHeight="false" outlineLevel="0" collapsed="false">
      <c r="A8" s="7" t="s">
        <v>13</v>
      </c>
      <c r="B8" s="8" t="n">
        <v>0</v>
      </c>
      <c r="C8" s="9" t="n">
        <v>0.7</v>
      </c>
      <c r="D8" s="8" t="n">
        <v>2.5</v>
      </c>
      <c r="E8" s="9" t="n">
        <v>4.5</v>
      </c>
      <c r="F8" s="8" t="n">
        <v>9</v>
      </c>
      <c r="G8" s="10" t="s">
        <v>14</v>
      </c>
    </row>
    <row r="9" customFormat="false" ht="19.4" hidden="false" customHeight="false" outlineLevel="0" collapsed="false">
      <c r="A9" s="7" t="s">
        <v>15</v>
      </c>
      <c r="B9" s="8" t="n">
        <v>0.3</v>
      </c>
      <c r="C9" s="9" t="n">
        <v>1.3</v>
      </c>
      <c r="D9" s="8" t="n">
        <v>2.5</v>
      </c>
      <c r="E9" s="9" t="n">
        <v>5</v>
      </c>
      <c r="F9" s="8" t="n">
        <v>12</v>
      </c>
      <c r="G9" s="10" t="s">
        <v>16</v>
      </c>
    </row>
    <row r="10" customFormat="false" ht="19.4" hidden="false" customHeight="false" outlineLevel="0" collapsed="false">
      <c r="A10" s="11" t="s">
        <v>17</v>
      </c>
      <c r="B10" s="12" t="n">
        <f aca="false">SUM(B6:B9)</f>
        <v>2</v>
      </c>
      <c r="C10" s="12" t="n">
        <f aca="false">SUM(C6:C9)</f>
        <v>10.5</v>
      </c>
      <c r="D10" s="12" t="n">
        <f aca="false">SUM(D6:D9)</f>
        <v>26</v>
      </c>
      <c r="E10" s="12" t="n">
        <f aca="false">SUM(E6:E9)</f>
        <v>52</v>
      </c>
      <c r="F10" s="12" t="n">
        <f aca="false">SUM(F6:F9)</f>
        <v>93</v>
      </c>
      <c r="G10" s="13" t="s">
        <v>18</v>
      </c>
    </row>
    <row r="11" customFormat="false" ht="15" hidden="false" customHeight="false" outlineLevel="0" collapsed="false">
      <c r="A11" s="14" t="s">
        <v>19</v>
      </c>
      <c r="B11" s="15"/>
      <c r="C11" s="16" t="n">
        <f aca="false">(C10/B10)-1</f>
        <v>4.25</v>
      </c>
      <c r="D11" s="16" t="n">
        <f aca="false">(D10/C10)-1</f>
        <v>1.47619047619048</v>
      </c>
      <c r="E11" s="16" t="n">
        <f aca="false">(E10/D10)-1</f>
        <v>1</v>
      </c>
      <c r="F11" s="16" t="n">
        <f aca="false">(F10/E10)-1</f>
        <v>0.788461538461539</v>
      </c>
    </row>
    <row r="12" customFormat="false" ht="15" hidden="false" customHeight="false" outlineLevel="0" collapsed="false">
      <c r="A12" s="17" t="s">
        <v>20</v>
      </c>
      <c r="F12" s="18" t="n">
        <f aca="false">(F10/B10)^(1/4)-1</f>
        <v>1.61133889958637</v>
      </c>
      <c r="G12" s="19" t="s">
        <v>21</v>
      </c>
    </row>
    <row r="14" customFormat="false" ht="15" hidden="false" customHeight="false" outlineLevel="0" collapsed="false">
      <c r="A14" s="4" t="s">
        <v>22</v>
      </c>
      <c r="B14" s="4"/>
      <c r="C14" s="4"/>
      <c r="D14" s="4"/>
      <c r="E14" s="4"/>
      <c r="F14" s="4"/>
      <c r="G14" s="4"/>
    </row>
    <row r="15" customFormat="false" ht="15" hidden="false" customHeight="false" outlineLevel="0" collapsed="false">
      <c r="A15" s="7" t="s">
        <v>23</v>
      </c>
      <c r="B15" s="20" t="n">
        <v>0.58</v>
      </c>
      <c r="G15" s="10" t="s">
        <v>24</v>
      </c>
    </row>
    <row r="16" customFormat="false" ht="19.4" hidden="false" customHeight="false" outlineLevel="0" collapsed="false">
      <c r="A16" s="7" t="s">
        <v>25</v>
      </c>
      <c r="B16" s="20" t="n">
        <v>0.65</v>
      </c>
      <c r="G16" s="10" t="s">
        <v>26</v>
      </c>
    </row>
    <row r="17" customFormat="false" ht="19.4" hidden="false" customHeight="false" outlineLevel="0" collapsed="false">
      <c r="A17" s="7" t="s">
        <v>27</v>
      </c>
      <c r="B17" s="20" t="n">
        <v>0.46</v>
      </c>
      <c r="G17" s="10" t="s">
        <v>28</v>
      </c>
    </row>
    <row r="18" customFormat="false" ht="15" hidden="false" customHeight="false" outlineLevel="0" collapsed="false">
      <c r="A18" s="7" t="s">
        <v>29</v>
      </c>
      <c r="B18" s="20" t="n">
        <v>0.72</v>
      </c>
      <c r="G18" s="10" t="s">
        <v>30</v>
      </c>
    </row>
    <row r="20" customFormat="false" ht="15" hidden="false" customHeight="false" outlineLevel="0" collapsed="false">
      <c r="A20" s="4" t="s">
        <v>31</v>
      </c>
      <c r="B20" s="4"/>
      <c r="C20" s="4"/>
      <c r="D20" s="4"/>
      <c r="E20" s="4"/>
      <c r="F20" s="4"/>
      <c r="G20" s="4"/>
    </row>
    <row r="21" customFormat="false" ht="15" hidden="false" customHeight="false" outlineLevel="0" collapsed="false">
      <c r="A21" s="5"/>
      <c r="B21" s="6" t="s">
        <v>3</v>
      </c>
      <c r="C21" s="6" t="s">
        <v>4</v>
      </c>
      <c r="D21" s="6" t="s">
        <v>5</v>
      </c>
      <c r="E21" s="6" t="s">
        <v>6</v>
      </c>
      <c r="F21" s="6" t="s">
        <v>7</v>
      </c>
      <c r="G21" s="6" t="s">
        <v>8</v>
      </c>
    </row>
    <row r="22" customFormat="false" ht="19.4" hidden="false" customHeight="false" outlineLevel="0" collapsed="false">
      <c r="A22" s="21" t="s">
        <v>32</v>
      </c>
      <c r="B22" s="22" t="n">
        <v>11</v>
      </c>
      <c r="C22" s="23" t="n">
        <v>18</v>
      </c>
      <c r="D22" s="22" t="n">
        <v>30</v>
      </c>
      <c r="E22" s="23" t="n">
        <v>40</v>
      </c>
      <c r="F22" s="23" t="n">
        <v>50</v>
      </c>
      <c r="G22" s="24" t="s">
        <v>33</v>
      </c>
    </row>
    <row r="23" customFormat="false" ht="19.4" hidden="false" customHeight="false" outlineLevel="0" collapsed="false">
      <c r="A23" s="21" t="s">
        <v>34</v>
      </c>
      <c r="B23" s="25" t="n">
        <v>0.18</v>
      </c>
      <c r="C23" s="25" t="n">
        <v>0.2</v>
      </c>
      <c r="D23" s="25" t="n">
        <v>0.22</v>
      </c>
      <c r="E23" s="25" t="n">
        <v>0.24</v>
      </c>
      <c r="F23" s="25" t="n">
        <v>0.26</v>
      </c>
      <c r="G23" s="10" t="s">
        <v>35</v>
      </c>
    </row>
    <row r="24" customFormat="false" ht="19.4" hidden="false" customHeight="false" outlineLevel="0" collapsed="false">
      <c r="A24" s="11" t="s">
        <v>36</v>
      </c>
      <c r="B24" s="12" t="n">
        <f aca="false">B22*B23</f>
        <v>1.98</v>
      </c>
      <c r="C24" s="12" t="n">
        <f aca="false">C22*C23</f>
        <v>3.6</v>
      </c>
      <c r="D24" s="12" t="n">
        <f aca="false">D22*D23</f>
        <v>6.6</v>
      </c>
      <c r="E24" s="12" t="n">
        <f aca="false">E22*E23</f>
        <v>9.6</v>
      </c>
      <c r="F24" s="12" t="n">
        <f aca="false">F22*F23</f>
        <v>13</v>
      </c>
      <c r="G24" s="26" t="s">
        <v>37</v>
      </c>
    </row>
    <row r="26" customFormat="false" ht="15" hidden="false" customHeight="false" outlineLevel="0" collapsed="false">
      <c r="A26" s="4" t="s">
        <v>38</v>
      </c>
      <c r="B26" s="4"/>
      <c r="C26" s="4"/>
      <c r="D26" s="4"/>
      <c r="E26" s="4"/>
      <c r="F26" s="4"/>
      <c r="G26" s="4"/>
    </row>
    <row r="27" customFormat="false" ht="15" hidden="false" customHeight="false" outlineLevel="0" collapsed="false">
      <c r="A27" s="5"/>
      <c r="B27" s="6" t="s">
        <v>3</v>
      </c>
      <c r="C27" s="6" t="s">
        <v>4</v>
      </c>
      <c r="D27" s="6" t="s">
        <v>5</v>
      </c>
      <c r="E27" s="6" t="s">
        <v>6</v>
      </c>
      <c r="F27" s="6" t="s">
        <v>7</v>
      </c>
      <c r="G27" s="6" t="s">
        <v>8</v>
      </c>
    </row>
    <row r="28" customFormat="false" ht="19.4" hidden="false" customHeight="false" outlineLevel="0" collapsed="false">
      <c r="A28" s="7" t="s">
        <v>39</v>
      </c>
      <c r="B28" s="9" t="n">
        <v>0.4</v>
      </c>
      <c r="C28" s="9" t="n">
        <v>0.55</v>
      </c>
      <c r="D28" s="9" t="n">
        <v>0.75</v>
      </c>
      <c r="E28" s="9" t="n">
        <v>1</v>
      </c>
      <c r="F28" s="9" t="n">
        <v>1.3</v>
      </c>
      <c r="G28" s="10" t="s">
        <v>40</v>
      </c>
    </row>
    <row r="29" customFormat="false" ht="15" hidden="false" customHeight="false" outlineLevel="0" collapsed="false">
      <c r="A29" s="7" t="s">
        <v>41</v>
      </c>
      <c r="B29" s="9" t="n">
        <v>0.35</v>
      </c>
      <c r="C29" s="9" t="n">
        <v>0.45</v>
      </c>
      <c r="D29" s="9" t="n">
        <v>0.55</v>
      </c>
      <c r="E29" s="9" t="n">
        <v>0.7</v>
      </c>
      <c r="F29" s="9" t="n">
        <v>0.85</v>
      </c>
      <c r="G29" s="10" t="s">
        <v>42</v>
      </c>
    </row>
    <row r="30" customFormat="false" ht="15" hidden="false" customHeight="false" outlineLevel="0" collapsed="false">
      <c r="A30" s="7" t="s">
        <v>43</v>
      </c>
      <c r="B30" s="9" t="n">
        <v>0.25</v>
      </c>
      <c r="C30" s="9" t="n">
        <v>0.4</v>
      </c>
      <c r="D30" s="9" t="n">
        <v>0.55</v>
      </c>
      <c r="E30" s="9" t="n">
        <v>0.75</v>
      </c>
      <c r="F30" s="9" t="n">
        <v>0.95</v>
      </c>
      <c r="G30" s="10" t="s">
        <v>44</v>
      </c>
    </row>
    <row r="31" customFormat="false" ht="19.4" hidden="false" customHeight="false" outlineLevel="0" collapsed="false">
      <c r="A31" s="7" t="s">
        <v>45</v>
      </c>
      <c r="B31" s="9" t="n">
        <v>1.5</v>
      </c>
      <c r="C31" s="9" t="n">
        <v>0.3</v>
      </c>
      <c r="D31" s="9" t="n">
        <v>0.5</v>
      </c>
      <c r="E31" s="9" t="n">
        <v>0.8</v>
      </c>
      <c r="F31" s="9" t="n">
        <v>1.2</v>
      </c>
      <c r="G31" s="10" t="s">
        <v>46</v>
      </c>
    </row>
    <row r="32" customFormat="false" ht="19.4" hidden="false" customHeight="false" outlineLevel="0" collapsed="false">
      <c r="A32" s="7" t="s">
        <v>47</v>
      </c>
      <c r="B32" s="27" t="n">
        <v>0.06</v>
      </c>
      <c r="C32" s="27" t="n">
        <v>0.06</v>
      </c>
      <c r="D32" s="27" t="n">
        <v>0.06</v>
      </c>
      <c r="E32" s="27" t="n">
        <v>0.06</v>
      </c>
      <c r="F32" s="27" t="n">
        <v>0.06</v>
      </c>
      <c r="G32" s="10" t="s">
        <v>48</v>
      </c>
    </row>
    <row r="33" customFormat="false" ht="19.4" hidden="false" customHeight="false" outlineLevel="0" collapsed="false">
      <c r="A33" s="7" t="s">
        <v>49</v>
      </c>
      <c r="B33" s="27" t="n">
        <v>0</v>
      </c>
      <c r="C33" s="27" t="n">
        <v>0.04</v>
      </c>
      <c r="D33" s="27" t="n">
        <v>0.05</v>
      </c>
      <c r="E33" s="27" t="n">
        <v>0.07</v>
      </c>
      <c r="F33" s="27" t="n">
        <v>0.095</v>
      </c>
      <c r="G33" s="10" t="s">
        <v>50</v>
      </c>
    </row>
    <row r="35" customFormat="false" ht="15" hidden="false" customHeight="false" outlineLevel="0" collapsed="false">
      <c r="A35" s="4" t="s">
        <v>51</v>
      </c>
      <c r="B35" s="4"/>
      <c r="C35" s="4"/>
      <c r="D35" s="4"/>
      <c r="E35" s="4"/>
      <c r="F35" s="4"/>
      <c r="G35" s="4"/>
    </row>
    <row r="36" customFormat="false" ht="19.4" hidden="false" customHeight="false" outlineLevel="0" collapsed="false">
      <c r="A36" s="7" t="s">
        <v>52</v>
      </c>
      <c r="B36" s="9" t="n">
        <v>0.6</v>
      </c>
      <c r="G36" s="10" t="s">
        <v>53</v>
      </c>
    </row>
    <row r="37" customFormat="false" ht="15" hidden="false" customHeight="false" outlineLevel="0" collapsed="false">
      <c r="A37" s="7" t="s">
        <v>54</v>
      </c>
      <c r="B37" s="9" t="n">
        <v>0.2</v>
      </c>
      <c r="G37" s="10" t="s">
        <v>55</v>
      </c>
    </row>
    <row r="38" customFormat="false" ht="15" hidden="false" customHeight="false" outlineLevel="0" collapsed="false">
      <c r="A38" s="7" t="s">
        <v>56</v>
      </c>
      <c r="B38" s="8" t="n">
        <v>2.5</v>
      </c>
      <c r="G38" s="24" t="s">
        <v>57</v>
      </c>
    </row>
    <row r="39" customFormat="false" ht="15" hidden="false" customHeight="false" outlineLevel="0" collapsed="false">
      <c r="A39" s="7" t="s">
        <v>58</v>
      </c>
      <c r="B39" s="8" t="n">
        <v>0.7</v>
      </c>
      <c r="G39" s="24" t="s">
        <v>59</v>
      </c>
    </row>
    <row r="40" customFormat="false" ht="15" hidden="false" customHeight="false" outlineLevel="0" collapsed="false">
      <c r="A40" s="7" t="s">
        <v>60</v>
      </c>
      <c r="B40" s="8" t="n">
        <v>0.3</v>
      </c>
      <c r="G40" s="24" t="s">
        <v>61</v>
      </c>
    </row>
    <row r="41" customFormat="false" ht="15" hidden="false" customHeight="false" outlineLevel="0" collapsed="false">
      <c r="A41" s="28" t="s">
        <v>62</v>
      </c>
      <c r="B41" s="29" t="n">
        <f aca="false">B38+B39+B40</f>
        <v>3.5</v>
      </c>
      <c r="G41" s="30" t="s">
        <v>63</v>
      </c>
    </row>
    <row r="43" customFormat="false" ht="19.4" hidden="false" customHeight="false" outlineLevel="0" collapsed="false">
      <c r="A43" s="7" t="s">
        <v>64</v>
      </c>
      <c r="B43" s="31" t="n">
        <v>0.18</v>
      </c>
      <c r="G43" s="10" t="s">
        <v>65</v>
      </c>
    </row>
    <row r="44" customFormat="false" ht="15" hidden="false" customHeight="false" outlineLevel="0" collapsed="false">
      <c r="A44" s="7" t="s">
        <v>66</v>
      </c>
      <c r="B44" s="27" t="n">
        <v>0.05</v>
      </c>
      <c r="G44" s="10" t="s">
        <v>67</v>
      </c>
    </row>
    <row r="45" customFormat="false" ht="19.4" hidden="false" customHeight="false" outlineLevel="0" collapsed="false">
      <c r="A45" s="7" t="s">
        <v>68</v>
      </c>
      <c r="B45" s="32" t="n">
        <v>3.9</v>
      </c>
      <c r="G45" s="24" t="s">
        <v>69</v>
      </c>
    </row>
    <row r="46" customFormat="false" ht="15" hidden="false" customHeight="false" outlineLevel="0" collapsed="false">
      <c r="A46" s="7" t="s">
        <v>70</v>
      </c>
      <c r="B46" s="33" t="n">
        <v>19.5</v>
      </c>
      <c r="G46" s="10" t="s">
        <v>71</v>
      </c>
    </row>
    <row r="47" customFormat="false" ht="19.4" hidden="false" customHeight="false" outlineLevel="0" collapsed="false">
      <c r="A47" s="7" t="s">
        <v>72</v>
      </c>
      <c r="B47" s="27" t="n">
        <v>0.25</v>
      </c>
      <c r="G47" s="10" t="s">
        <v>73</v>
      </c>
    </row>
  </sheetData>
  <mergeCells count="7">
    <mergeCell ref="A1:G1"/>
    <mergeCell ref="A2:G2"/>
    <mergeCell ref="A4:G4"/>
    <mergeCell ref="A14:G14"/>
    <mergeCell ref="A20:G20"/>
    <mergeCell ref="A26:G26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1A6E"/>
    <pageSetUpPr fitToPage="false"/>
  </sheetPr>
  <dimension ref="A1:G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6" min="2" style="1" width="13"/>
    <col collapsed="false" customWidth="true" hidden="false" outlineLevel="0" max="7" min="7" style="1" width="14"/>
  </cols>
  <sheetData>
    <row r="1" customFormat="false" ht="30" hidden="false" customHeight="true" outlineLevel="0" collapsed="false">
      <c r="A1" s="2" t="s">
        <v>74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75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5"/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76</v>
      </c>
    </row>
    <row r="5" customFormat="false" ht="15" hidden="false" customHeight="false" outlineLevel="0" collapsed="false">
      <c r="A5" s="4" t="s">
        <v>77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7" t="s">
        <v>78</v>
      </c>
      <c r="B6" s="34" t="n">
        <f aca="false">Assumptions!B6</f>
        <v>0.84</v>
      </c>
      <c r="C6" s="34" t="n">
        <f aca="false">Assumptions!C6</f>
        <v>2.5</v>
      </c>
      <c r="D6" s="34" t="n">
        <f aca="false">Assumptions!D6</f>
        <v>6.5</v>
      </c>
      <c r="E6" s="34" t="n">
        <f aca="false">Assumptions!E6</f>
        <v>14</v>
      </c>
      <c r="F6" s="34" t="n">
        <f aca="false">Assumptions!F6</f>
        <v>25</v>
      </c>
    </row>
    <row r="7" customFormat="false" ht="15" hidden="false" customHeight="false" outlineLevel="0" collapsed="false">
      <c r="A7" s="7" t="s">
        <v>79</v>
      </c>
      <c r="B7" s="34" t="n">
        <f aca="false">Assumptions!B7</f>
        <v>0.86</v>
      </c>
      <c r="C7" s="34" t="n">
        <f aca="false">Assumptions!C7</f>
        <v>6</v>
      </c>
      <c r="D7" s="34" t="n">
        <f aca="false">Assumptions!D7</f>
        <v>14.5</v>
      </c>
      <c r="E7" s="34" t="n">
        <f aca="false">Assumptions!E7</f>
        <v>28.5</v>
      </c>
      <c r="F7" s="34" t="n">
        <f aca="false">Assumptions!F7</f>
        <v>47</v>
      </c>
    </row>
    <row r="8" customFormat="false" ht="15" hidden="false" customHeight="false" outlineLevel="0" collapsed="false">
      <c r="A8" s="7" t="s">
        <v>13</v>
      </c>
      <c r="B8" s="34" t="n">
        <f aca="false">Assumptions!B8</f>
        <v>0</v>
      </c>
      <c r="C8" s="34" t="n">
        <f aca="false">Assumptions!C8</f>
        <v>0.7</v>
      </c>
      <c r="D8" s="34" t="n">
        <f aca="false">Assumptions!D8</f>
        <v>2.5</v>
      </c>
      <c r="E8" s="34" t="n">
        <f aca="false">Assumptions!E8</f>
        <v>4.5</v>
      </c>
      <c r="F8" s="34" t="n">
        <f aca="false">Assumptions!F8</f>
        <v>9</v>
      </c>
    </row>
    <row r="9" customFormat="false" ht="15" hidden="false" customHeight="false" outlineLevel="0" collapsed="false">
      <c r="A9" s="7" t="s">
        <v>15</v>
      </c>
      <c r="B9" s="34" t="n">
        <f aca="false">Assumptions!B9</f>
        <v>0.3</v>
      </c>
      <c r="C9" s="34" t="n">
        <f aca="false">Assumptions!C9</f>
        <v>1.3</v>
      </c>
      <c r="D9" s="34" t="n">
        <f aca="false">Assumptions!D9</f>
        <v>2.5</v>
      </c>
      <c r="E9" s="34" t="n">
        <f aca="false">Assumptions!E9</f>
        <v>5</v>
      </c>
      <c r="F9" s="34" t="n">
        <f aca="false">Assumptions!F9</f>
        <v>12</v>
      </c>
    </row>
    <row r="10" customFormat="false" ht="15" hidden="false" customHeight="false" outlineLevel="0" collapsed="false">
      <c r="A10" s="11" t="s">
        <v>17</v>
      </c>
      <c r="B10" s="12" t="n">
        <f aca="false">SUM(B6:B9)</f>
        <v>2</v>
      </c>
      <c r="C10" s="12" t="n">
        <f aca="false">SUM(C6:C9)</f>
        <v>10.5</v>
      </c>
      <c r="D10" s="12" t="n">
        <f aca="false">SUM(D6:D9)</f>
        <v>26</v>
      </c>
      <c r="E10" s="12" t="n">
        <f aca="false">SUM(E6:E9)</f>
        <v>52</v>
      </c>
      <c r="F10" s="12" t="n">
        <f aca="false">SUM(F6:F9)</f>
        <v>93</v>
      </c>
      <c r="G10" s="35" t="n">
        <f aca="false">(F10/B10)^(1/4)-1</f>
        <v>1.61133889958637</v>
      </c>
    </row>
    <row r="11" customFormat="false" ht="15" hidden="false" customHeight="false" outlineLevel="0" collapsed="false">
      <c r="A11" s="14" t="s">
        <v>80</v>
      </c>
      <c r="C11" s="16" t="n">
        <f aca="false">(C10/B10)-1</f>
        <v>4.25</v>
      </c>
      <c r="D11" s="16" t="n">
        <f aca="false">(D10/C10)-1</f>
        <v>1.47619047619048</v>
      </c>
      <c r="E11" s="16" t="n">
        <f aca="false">(E10/D10)-1</f>
        <v>1</v>
      </c>
      <c r="F11" s="16" t="n">
        <f aca="false">(F10/E10)-1</f>
        <v>0.788461538461539</v>
      </c>
    </row>
    <row r="13" customFormat="false" ht="15" hidden="false" customHeight="false" outlineLevel="0" collapsed="false">
      <c r="A13" s="4" t="s">
        <v>81</v>
      </c>
      <c r="B13" s="4"/>
      <c r="C13" s="4"/>
      <c r="D13" s="4"/>
      <c r="E13" s="4"/>
      <c r="F13" s="4"/>
      <c r="G13" s="4"/>
    </row>
    <row r="14" customFormat="false" ht="15" hidden="false" customHeight="false" outlineLevel="0" collapsed="false">
      <c r="A14" s="7" t="s">
        <v>82</v>
      </c>
      <c r="B14" s="36" t="n">
        <f aca="false">B6*(1-Assumptions!B15)+B7*(1-Assumptions!B16)+B8*(1-Assumptions!B17)+B9*(1-Assumptions!B18)</f>
        <v>0.7378</v>
      </c>
      <c r="C14" s="36" t="n">
        <f aca="false">C6*(1-Assumptions!B15)+C7*(1-Assumptions!B16)+C8*(1-Assumptions!B17)+C9*(1-Assumptions!B18)</f>
        <v>3.892</v>
      </c>
      <c r="D14" s="36" t="n">
        <f aca="false">D6*(1-Assumptions!B15)+D7*(1-Assumptions!B16)+D8*(1-Assumptions!B17)+D9*(1-Assumptions!B18)</f>
        <v>9.855</v>
      </c>
      <c r="E14" s="36" t="n">
        <f aca="false">E6*(1-Assumptions!B15)+E7*(1-Assumptions!B16)+E8*(1-Assumptions!B17)+E9*(1-Assumptions!B18)</f>
        <v>19.685</v>
      </c>
      <c r="F14" s="36" t="n">
        <f aca="false">F6*(1-Assumptions!B15)+F7*(1-Assumptions!B16)+F8*(1-Assumptions!B17)+F9*(1-Assumptions!B18)</f>
        <v>35.17</v>
      </c>
    </row>
    <row r="15" customFormat="false" ht="15" hidden="false" customHeight="false" outlineLevel="0" collapsed="false">
      <c r="A15" s="11" t="s">
        <v>83</v>
      </c>
      <c r="B15" s="12" t="n">
        <f aca="false">B10-B14</f>
        <v>1.2622</v>
      </c>
      <c r="C15" s="12" t="n">
        <f aca="false">C10-C14</f>
        <v>6.608</v>
      </c>
      <c r="D15" s="12" t="n">
        <f aca="false">D10-D14</f>
        <v>16.145</v>
      </c>
      <c r="E15" s="12" t="n">
        <f aca="false">E10-E14</f>
        <v>32.315</v>
      </c>
      <c r="F15" s="12" t="n">
        <f aca="false">F10-F14</f>
        <v>57.83</v>
      </c>
      <c r="G15" s="35" t="n">
        <f aca="false">(F15/B15)^(1/4)-1</f>
        <v>1.6016942319946</v>
      </c>
    </row>
    <row r="16" customFormat="false" ht="15" hidden="false" customHeight="false" outlineLevel="0" collapsed="false">
      <c r="A16" s="14" t="s">
        <v>84</v>
      </c>
      <c r="B16" s="16" t="n">
        <f aca="false">B15/B10</f>
        <v>0.6311</v>
      </c>
      <c r="C16" s="16" t="n">
        <f aca="false">C15/C10</f>
        <v>0.629333333333333</v>
      </c>
      <c r="D16" s="16" t="n">
        <f aca="false">D15/D10</f>
        <v>0.620961538461539</v>
      </c>
      <c r="E16" s="16" t="n">
        <f aca="false">E15/E10</f>
        <v>0.621442307692308</v>
      </c>
      <c r="F16" s="16" t="n">
        <f aca="false">F15/F10</f>
        <v>0.621827956989247</v>
      </c>
    </row>
    <row r="18" customFormat="false" ht="15" hidden="false" customHeight="false" outlineLevel="0" collapsed="false">
      <c r="A18" s="4" t="s">
        <v>85</v>
      </c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A19" s="7" t="s">
        <v>86</v>
      </c>
      <c r="B19" s="34" t="n">
        <f aca="false">Assumptions!B24</f>
        <v>1.98</v>
      </c>
      <c r="C19" s="34" t="n">
        <f aca="false">Assumptions!C24</f>
        <v>3.6</v>
      </c>
      <c r="D19" s="34" t="n">
        <f aca="false">Assumptions!D24</f>
        <v>6.6</v>
      </c>
      <c r="E19" s="34" t="n">
        <f aca="false">Assumptions!E24</f>
        <v>9.6</v>
      </c>
      <c r="F19" s="34" t="n">
        <f aca="false">Assumptions!F24</f>
        <v>13</v>
      </c>
    </row>
    <row r="20" customFormat="false" ht="15" hidden="false" customHeight="false" outlineLevel="0" collapsed="false">
      <c r="A20" s="7" t="s">
        <v>87</v>
      </c>
      <c r="B20" s="34" t="n">
        <f aca="false">Assumptions!B28</f>
        <v>0.4</v>
      </c>
      <c r="C20" s="34" t="n">
        <f aca="false">Assumptions!C28</f>
        <v>0.55</v>
      </c>
      <c r="D20" s="34" t="n">
        <f aca="false">Assumptions!D28</f>
        <v>0.75</v>
      </c>
      <c r="E20" s="34" t="n">
        <f aca="false">Assumptions!E28</f>
        <v>1</v>
      </c>
      <c r="F20" s="34" t="n">
        <f aca="false">Assumptions!F28</f>
        <v>1.3</v>
      </c>
    </row>
    <row r="21" customFormat="false" ht="15" hidden="false" customHeight="false" outlineLevel="0" collapsed="false">
      <c r="A21" s="7" t="s">
        <v>88</v>
      </c>
      <c r="B21" s="34" t="n">
        <f aca="false">Assumptions!B29</f>
        <v>0.35</v>
      </c>
      <c r="C21" s="34" t="n">
        <f aca="false">Assumptions!C29</f>
        <v>0.45</v>
      </c>
      <c r="D21" s="34" t="n">
        <f aca="false">Assumptions!D29</f>
        <v>0.55</v>
      </c>
      <c r="E21" s="34" t="n">
        <f aca="false">Assumptions!E29</f>
        <v>0.7</v>
      </c>
      <c r="F21" s="34" t="n">
        <f aca="false">Assumptions!F29</f>
        <v>0.85</v>
      </c>
    </row>
    <row r="22" customFormat="false" ht="15" hidden="false" customHeight="false" outlineLevel="0" collapsed="false">
      <c r="A22" s="7" t="s">
        <v>43</v>
      </c>
      <c r="B22" s="34" t="n">
        <f aca="false">Assumptions!B30</f>
        <v>0.25</v>
      </c>
      <c r="C22" s="34" t="n">
        <f aca="false">Assumptions!C30</f>
        <v>0.4</v>
      </c>
      <c r="D22" s="34" t="n">
        <f aca="false">Assumptions!D30</f>
        <v>0.55</v>
      </c>
      <c r="E22" s="34" t="n">
        <f aca="false">Assumptions!E30</f>
        <v>0.75</v>
      </c>
      <c r="F22" s="34" t="n">
        <f aca="false">Assumptions!F30</f>
        <v>0.95</v>
      </c>
    </row>
    <row r="23" customFormat="false" ht="15" hidden="false" customHeight="false" outlineLevel="0" collapsed="false">
      <c r="A23" s="7" t="s">
        <v>89</v>
      </c>
      <c r="B23" s="34" t="n">
        <f aca="false">Assumptions!B31</f>
        <v>1.5</v>
      </c>
      <c r="C23" s="34" t="n">
        <f aca="false">Assumptions!C31</f>
        <v>0.3</v>
      </c>
      <c r="D23" s="34" t="n">
        <f aca="false">Assumptions!D31</f>
        <v>0.5</v>
      </c>
      <c r="E23" s="34" t="n">
        <f aca="false">Assumptions!E31</f>
        <v>0.8</v>
      </c>
      <c r="F23" s="34" t="n">
        <f aca="false">Assumptions!F31</f>
        <v>1.2</v>
      </c>
    </row>
    <row r="24" customFormat="false" ht="15" hidden="false" customHeight="false" outlineLevel="0" collapsed="false">
      <c r="A24" s="7" t="s">
        <v>90</v>
      </c>
      <c r="B24" s="36" t="n">
        <f aca="false">B10*Assumptions!B32</f>
        <v>0.12</v>
      </c>
      <c r="C24" s="36" t="n">
        <f aca="false">C10*Assumptions!C32</f>
        <v>0.63</v>
      </c>
      <c r="D24" s="36" t="n">
        <f aca="false">D10*Assumptions!D32</f>
        <v>1.56</v>
      </c>
      <c r="E24" s="36" t="n">
        <f aca="false">E10*Assumptions!E32</f>
        <v>3.12</v>
      </c>
      <c r="F24" s="36" t="n">
        <f aca="false">F10*Assumptions!F32</f>
        <v>5.58</v>
      </c>
    </row>
    <row r="25" customFormat="false" ht="15" hidden="false" customHeight="false" outlineLevel="0" collapsed="false">
      <c r="A25" s="7" t="s">
        <v>91</v>
      </c>
      <c r="B25" s="36" t="n">
        <f aca="false">B10*Assumptions!B33</f>
        <v>0</v>
      </c>
      <c r="C25" s="36" t="n">
        <f aca="false">C10*Assumptions!C33</f>
        <v>0.42</v>
      </c>
      <c r="D25" s="36" t="n">
        <f aca="false">D10*Assumptions!D33</f>
        <v>1.3</v>
      </c>
      <c r="E25" s="36" t="n">
        <f aca="false">E10*Assumptions!E33</f>
        <v>3.64</v>
      </c>
      <c r="F25" s="36" t="n">
        <f aca="false">F10*Assumptions!F33</f>
        <v>8.835</v>
      </c>
    </row>
    <row r="26" customFormat="false" ht="15" hidden="false" customHeight="false" outlineLevel="0" collapsed="false">
      <c r="A26" s="37" t="s">
        <v>92</v>
      </c>
      <c r="B26" s="38" t="n">
        <f aca="false">B19+B20+B21+B22+B23+B24+B25</f>
        <v>4.6</v>
      </c>
      <c r="C26" s="38" t="n">
        <f aca="false">C19+C20+C21+C22+C23+C24+C25</f>
        <v>6.35</v>
      </c>
      <c r="D26" s="38" t="n">
        <f aca="false">D19+D20+D21+D22+D23+D24+D25</f>
        <v>11.81</v>
      </c>
      <c r="E26" s="38" t="n">
        <f aca="false">E19+E20+E21+E22+E23+E24+E25</f>
        <v>19.61</v>
      </c>
      <c r="F26" s="38" t="n">
        <f aca="false">F19+F20+F21+F22+F23+F24+F25</f>
        <v>31.715</v>
      </c>
    </row>
    <row r="27" customFormat="false" ht="15" hidden="false" customHeight="false" outlineLevel="0" collapsed="false">
      <c r="A27" s="14" t="s">
        <v>93</v>
      </c>
      <c r="B27" s="16" t="n">
        <f aca="false">B26/B10</f>
        <v>2.3</v>
      </c>
      <c r="C27" s="16" t="n">
        <f aca="false">C26/C10</f>
        <v>0.604761904761905</v>
      </c>
      <c r="D27" s="16" t="n">
        <f aca="false">D26/D10</f>
        <v>0.454230769230769</v>
      </c>
      <c r="E27" s="16" t="n">
        <f aca="false">E26/E10</f>
        <v>0.377115384615385</v>
      </c>
      <c r="F27" s="16" t="n">
        <f aca="false">F26/F10</f>
        <v>0.341021505376344</v>
      </c>
    </row>
    <row r="29" customFormat="false" ht="15" hidden="false" customHeight="false" outlineLevel="0" collapsed="false">
      <c r="A29" s="39" t="s">
        <v>94</v>
      </c>
      <c r="B29" s="39"/>
      <c r="C29" s="39"/>
      <c r="D29" s="39"/>
      <c r="E29" s="39"/>
      <c r="F29" s="39"/>
      <c r="G29" s="39"/>
    </row>
    <row r="30" customFormat="false" ht="15" hidden="false" customHeight="false" outlineLevel="0" collapsed="false">
      <c r="A30" s="40" t="s">
        <v>95</v>
      </c>
      <c r="B30" s="41" t="n">
        <f aca="false">B15-B26</f>
        <v>-3.3378</v>
      </c>
      <c r="C30" s="41" t="n">
        <f aca="false">C15-C26</f>
        <v>0.258</v>
      </c>
      <c r="D30" s="41" t="n">
        <f aca="false">D15-D26</f>
        <v>4.335</v>
      </c>
      <c r="E30" s="41" t="n">
        <f aca="false">E15-E26</f>
        <v>12.705</v>
      </c>
      <c r="F30" s="41" t="n">
        <f aca="false">F15-F26</f>
        <v>26.115</v>
      </c>
    </row>
    <row r="31" customFormat="false" ht="15" hidden="false" customHeight="false" outlineLevel="0" collapsed="false">
      <c r="A31" s="42" t="s">
        <v>96</v>
      </c>
      <c r="B31" s="43" t="n">
        <f aca="false">B30/B10</f>
        <v>-1.6689</v>
      </c>
      <c r="C31" s="43" t="n">
        <f aca="false">C30/C10</f>
        <v>0.0245714285714286</v>
      </c>
      <c r="D31" s="43" t="n">
        <f aca="false">D30/D10</f>
        <v>0.166730769230769</v>
      </c>
      <c r="E31" s="43" t="n">
        <f aca="false">E30/E10</f>
        <v>0.244326923076923</v>
      </c>
      <c r="F31" s="43" t="n">
        <f aca="false">F30/F10</f>
        <v>0.280806451612903</v>
      </c>
    </row>
    <row r="32" customFormat="false" ht="15" hidden="false" customHeight="false" outlineLevel="0" collapsed="false">
      <c r="A32" s="14" t="s">
        <v>97</v>
      </c>
      <c r="B32" s="44" t="str">
        <f aca="false">IF(B30&gt;0,"+ EBITDA POSITIVE","- (loss)")</f>
        <v>- (loss)</v>
      </c>
      <c r="C32" s="44" t="str">
        <f aca="false">IF(C30&gt;0,"+ EBITDA POSITIVE","- (loss)")</f>
        <v>+ EBITDA POSITIVE</v>
      </c>
      <c r="D32" s="44" t="str">
        <f aca="false">IF(D30&gt;0,"+ EBITDA POSITIVE","- (loss)")</f>
        <v>+ EBITDA POSITIVE</v>
      </c>
      <c r="E32" s="44" t="str">
        <f aca="false">IF(E30&gt;0,"+ EBITDA POSITIVE","- (loss)")</f>
        <v>+ EBITDA POSITIVE</v>
      </c>
      <c r="F32" s="44" t="str">
        <f aca="false">IF(F30&gt;0,"+ EBITDA POSITIVE","- (loss)")</f>
        <v>+ EBITDA POSITIVE</v>
      </c>
    </row>
    <row r="34" customFormat="false" ht="15" hidden="false" customHeight="false" outlineLevel="0" collapsed="false">
      <c r="A34" s="4" t="s">
        <v>98</v>
      </c>
      <c r="B34" s="4"/>
      <c r="C34" s="4"/>
      <c r="D34" s="4"/>
      <c r="E34" s="4"/>
      <c r="F34" s="4"/>
      <c r="G34" s="4"/>
    </row>
    <row r="35" customFormat="false" ht="15" hidden="false" customHeight="false" outlineLevel="0" collapsed="false">
      <c r="A35" s="7" t="s">
        <v>99</v>
      </c>
      <c r="B35" s="9" t="n">
        <v>0.2</v>
      </c>
      <c r="C35" s="9" t="n">
        <v>0.3</v>
      </c>
      <c r="D35" s="9" t="n">
        <v>0.27</v>
      </c>
      <c r="E35" s="9" t="n">
        <v>0.24</v>
      </c>
      <c r="F35" s="9" t="n">
        <v>0.21</v>
      </c>
    </row>
    <row r="36" customFormat="false" ht="15" hidden="false" customHeight="false" outlineLevel="0" collapsed="false">
      <c r="A36" s="21" t="s">
        <v>100</v>
      </c>
      <c r="B36" s="45" t="n">
        <f aca="false">B30-B35</f>
        <v>-3.5378</v>
      </c>
      <c r="C36" s="45" t="n">
        <f aca="false">C30-C35</f>
        <v>-0.042</v>
      </c>
      <c r="D36" s="45" t="n">
        <f aca="false">D30-D35</f>
        <v>4.065</v>
      </c>
      <c r="E36" s="45" t="n">
        <f aca="false">E30-E35</f>
        <v>12.465</v>
      </c>
      <c r="F36" s="45" t="n">
        <f aca="false">F30-F35</f>
        <v>25.905</v>
      </c>
    </row>
    <row r="37" customFormat="false" ht="15" hidden="false" customHeight="false" outlineLevel="0" collapsed="false">
      <c r="A37" s="7" t="s">
        <v>101</v>
      </c>
      <c r="B37" s="36" t="n">
        <f aca="false">MAX(0,B36)*Assumptions!B47</f>
        <v>0</v>
      </c>
      <c r="C37" s="36" t="n">
        <f aca="false">MAX(0,C36)*Assumptions!B47</f>
        <v>0</v>
      </c>
      <c r="D37" s="36" t="n">
        <f aca="false">MAX(0,D36)*Assumptions!B47</f>
        <v>1.01625</v>
      </c>
      <c r="E37" s="36" t="n">
        <f aca="false">MAX(0,E36)*Assumptions!B47</f>
        <v>3.11625</v>
      </c>
      <c r="F37" s="36" t="n">
        <f aca="false">MAX(0,F36)*Assumptions!B47</f>
        <v>6.47625</v>
      </c>
    </row>
    <row r="38" customFormat="false" ht="15" hidden="false" customHeight="false" outlineLevel="0" collapsed="false">
      <c r="A38" s="40" t="s">
        <v>102</v>
      </c>
      <c r="B38" s="41" t="n">
        <f aca="false">B36-B37</f>
        <v>-3.5378</v>
      </c>
      <c r="C38" s="41" t="n">
        <f aca="false">C36-C37</f>
        <v>-0.042</v>
      </c>
      <c r="D38" s="41" t="n">
        <f aca="false">D36-D37</f>
        <v>3.04875</v>
      </c>
      <c r="E38" s="41" t="n">
        <f aca="false">E36-E37</f>
        <v>9.34875</v>
      </c>
      <c r="F38" s="41" t="n">
        <f aca="false">F36-F37</f>
        <v>19.42875</v>
      </c>
    </row>
    <row r="40" customFormat="false" ht="15" hidden="false" customHeight="false" outlineLevel="0" collapsed="false">
      <c r="A40" s="4" t="s">
        <v>103</v>
      </c>
      <c r="B40" s="4"/>
      <c r="C40" s="4"/>
      <c r="D40" s="4"/>
      <c r="E40" s="4"/>
      <c r="F40" s="4"/>
      <c r="G40" s="4"/>
    </row>
    <row r="41" customFormat="false" ht="15" hidden="false" customHeight="false" outlineLevel="0" collapsed="false">
      <c r="A41" s="7" t="s">
        <v>104</v>
      </c>
      <c r="B41" s="36" t="n">
        <f aca="false">B10*0.3*90/365</f>
        <v>0.147945205479452</v>
      </c>
      <c r="C41" s="36" t="n">
        <f aca="false">(C10-B10)*0.3*90/365</f>
        <v>0.628767123287671</v>
      </c>
      <c r="D41" s="36" t="n">
        <f aca="false">(D10-C10)*0.3*90/365</f>
        <v>1.14657534246575</v>
      </c>
      <c r="E41" s="36" t="n">
        <f aca="false">(E10-D10)*0.3*90/365</f>
        <v>1.92328767123288</v>
      </c>
      <c r="F41" s="36" t="n">
        <f aca="false">(F10-E10)*0.3*90/365</f>
        <v>3.03287671232877</v>
      </c>
    </row>
    <row r="42" customFormat="false" ht="15" hidden="false" customHeight="false" outlineLevel="0" collapsed="false">
      <c r="A42" s="21" t="s">
        <v>105</v>
      </c>
      <c r="B42" s="45" t="n">
        <f aca="false">B30-B37-B41</f>
        <v>-3.48574520547945</v>
      </c>
      <c r="C42" s="45" t="n">
        <f aca="false">C30-C37-C41</f>
        <v>-0.370767123287671</v>
      </c>
      <c r="D42" s="45" t="n">
        <f aca="false">D30-D37-D41</f>
        <v>2.17217465753425</v>
      </c>
      <c r="E42" s="45" t="n">
        <f aca="false">E30-E37-E41</f>
        <v>7.66546232876712</v>
      </c>
      <c r="F42" s="45" t="n">
        <f aca="false">F30-F37-F41</f>
        <v>16.6058732876712</v>
      </c>
    </row>
    <row r="43" customFormat="false" ht="15" hidden="false" customHeight="false" outlineLevel="0" collapsed="false">
      <c r="A43" s="7" t="s">
        <v>106</v>
      </c>
      <c r="B43" s="34" t="n">
        <f aca="false">-Assumptions!B36</f>
        <v>-0.6</v>
      </c>
      <c r="C43" s="34" t="n">
        <f aca="false">-Assumptions!B37</f>
        <v>-0.2</v>
      </c>
      <c r="D43" s="34" t="n">
        <f aca="false">-Assumptions!B37</f>
        <v>-0.2</v>
      </c>
      <c r="E43" s="34" t="n">
        <f aca="false">-Assumptions!B37</f>
        <v>-0.2</v>
      </c>
      <c r="F43" s="34" t="n">
        <f aca="false">-Assumptions!B37</f>
        <v>-0.2</v>
      </c>
    </row>
    <row r="44" customFormat="false" ht="15" hidden="false" customHeight="false" outlineLevel="0" collapsed="false">
      <c r="A44" s="11" t="s">
        <v>107</v>
      </c>
      <c r="B44" s="12" t="n">
        <f aca="false">B42+B43</f>
        <v>-4.08574520547945</v>
      </c>
      <c r="C44" s="12" t="n">
        <f aca="false">C42+C43</f>
        <v>-0.570767123287671</v>
      </c>
      <c r="D44" s="12" t="n">
        <f aca="false">D42+D43</f>
        <v>1.97217465753425</v>
      </c>
      <c r="E44" s="12" t="n">
        <f aca="false">E42+E43</f>
        <v>7.46546232876712</v>
      </c>
      <c r="F44" s="12" t="n">
        <f aca="false">F42+F43</f>
        <v>16.4058732876712</v>
      </c>
    </row>
    <row r="45" customFormat="false" ht="15" hidden="false" customHeight="false" outlineLevel="0" collapsed="false">
      <c r="A45" s="7" t="s">
        <v>108</v>
      </c>
      <c r="B45" s="34" t="n">
        <f aca="false">Assumptions!B38</f>
        <v>2.5</v>
      </c>
      <c r="C45" s="34" t="n">
        <f aca="false">Assumptions!B39</f>
        <v>0.7</v>
      </c>
      <c r="D45" s="34" t="n">
        <f aca="false">Assumptions!B40</f>
        <v>0.3</v>
      </c>
      <c r="E45" s="9" t="n">
        <v>0</v>
      </c>
      <c r="F45" s="9" t="n">
        <v>0</v>
      </c>
    </row>
    <row r="46" customFormat="false" ht="15" hidden="false" customHeight="false" outlineLevel="0" collapsed="false">
      <c r="A46" s="21" t="s">
        <v>109</v>
      </c>
      <c r="B46" s="45" t="n">
        <f aca="false">B44+B45</f>
        <v>-1.58574520547945</v>
      </c>
      <c r="C46" s="45" t="n">
        <f aca="false">C44+C45</f>
        <v>0.129232876712329</v>
      </c>
      <c r="D46" s="45" t="n">
        <f aca="false">D44+D45</f>
        <v>2.27217465753425</v>
      </c>
      <c r="E46" s="45" t="n">
        <f aca="false">E44+E45</f>
        <v>7.46546232876712</v>
      </c>
      <c r="F46" s="45" t="n">
        <f aca="false">F44+F45</f>
        <v>16.4058732876712</v>
      </c>
    </row>
    <row r="47" customFormat="false" ht="15" hidden="false" customHeight="false" outlineLevel="0" collapsed="false">
      <c r="A47" s="11" t="s">
        <v>110</v>
      </c>
      <c r="B47" s="12" t="n">
        <f aca="false">B46</f>
        <v>-1.58574520547945</v>
      </c>
      <c r="C47" s="12" t="n">
        <f aca="false">B47+C46</f>
        <v>-1.45651232876712</v>
      </c>
      <c r="D47" s="12" t="n">
        <f aca="false">C47+D46</f>
        <v>0.815662328767125</v>
      </c>
      <c r="E47" s="12" t="n">
        <f aca="false">D47+E46</f>
        <v>8.28112465753425</v>
      </c>
      <c r="F47" s="12" t="n">
        <f aca="false">E47+F46</f>
        <v>24.6869979452055</v>
      </c>
    </row>
    <row r="49" customFormat="false" ht="15" hidden="false" customHeight="false" outlineLevel="0" collapsed="false">
      <c r="A49" s="39" t="s">
        <v>111</v>
      </c>
      <c r="B49" s="39"/>
      <c r="C49" s="39"/>
      <c r="D49" s="39"/>
      <c r="E49" s="39"/>
      <c r="F49" s="39"/>
      <c r="G49" s="39"/>
    </row>
    <row r="50" customFormat="false" ht="15" hidden="false" customHeight="false" outlineLevel="0" collapsed="false">
      <c r="A50" s="5"/>
      <c r="B50" s="6" t="s">
        <v>3</v>
      </c>
      <c r="C50" s="6" t="s">
        <v>4</v>
      </c>
      <c r="D50" s="6" t="s">
        <v>5</v>
      </c>
      <c r="E50" s="6" t="s">
        <v>6</v>
      </c>
      <c r="F50" s="6" t="s">
        <v>7</v>
      </c>
      <c r="G50" s="6" t="s">
        <v>112</v>
      </c>
    </row>
    <row r="51" customFormat="false" ht="15" hidden="false" customHeight="false" outlineLevel="0" collapsed="false">
      <c r="A51" s="14" t="s">
        <v>113</v>
      </c>
      <c r="B51" s="34" t="n">
        <f aca="false">B10</f>
        <v>2</v>
      </c>
      <c r="C51" s="34" t="n">
        <f aca="false">C10</f>
        <v>10.5</v>
      </c>
      <c r="D51" s="34" t="n">
        <f aca="false">D10</f>
        <v>26</v>
      </c>
      <c r="E51" s="34" t="n">
        <f aca="false">E10</f>
        <v>52</v>
      </c>
      <c r="F51" s="34" t="n">
        <f aca="false">F10</f>
        <v>93</v>
      </c>
      <c r="G51" s="46" t="s">
        <v>114</v>
      </c>
    </row>
    <row r="52" customFormat="false" ht="15" hidden="false" customHeight="false" outlineLevel="0" collapsed="false">
      <c r="A52" s="14" t="s">
        <v>115</v>
      </c>
      <c r="B52" s="34" t="n">
        <f aca="false">B30</f>
        <v>-3.3378</v>
      </c>
      <c r="C52" s="34" t="n">
        <f aca="false">C30</f>
        <v>0.258</v>
      </c>
      <c r="D52" s="34" t="n">
        <f aca="false">D30</f>
        <v>4.335</v>
      </c>
      <c r="E52" s="34" t="n">
        <f aca="false">E30</f>
        <v>12.705</v>
      </c>
      <c r="F52" s="34" t="n">
        <f aca="false">F30</f>
        <v>26.115</v>
      </c>
      <c r="G52" s="46" t="s">
        <v>114</v>
      </c>
    </row>
    <row r="53" customFormat="false" ht="15" hidden="false" customHeight="false" outlineLevel="0" collapsed="false">
      <c r="A53" s="14" t="s">
        <v>116</v>
      </c>
      <c r="B53" s="16" t="n">
        <f aca="false">B31</f>
        <v>-1.6689</v>
      </c>
      <c r="C53" s="16" t="n">
        <f aca="false">C31</f>
        <v>0.0245714285714286</v>
      </c>
      <c r="D53" s="16" t="n">
        <f aca="false">D31</f>
        <v>0.166730769230769</v>
      </c>
      <c r="E53" s="16" t="n">
        <f aca="false">E31</f>
        <v>0.244326923076923</v>
      </c>
      <c r="F53" s="16" t="n">
        <f aca="false">F31</f>
        <v>0.280806451612903</v>
      </c>
      <c r="G53" s="46" t="s">
        <v>117</v>
      </c>
    </row>
    <row r="54" customFormat="false" ht="15" hidden="false" customHeight="false" outlineLevel="0" collapsed="false">
      <c r="A54" s="14" t="s">
        <v>118</v>
      </c>
      <c r="B54" s="34" t="n">
        <f aca="false">B38</f>
        <v>-3.5378</v>
      </c>
      <c r="C54" s="34" t="n">
        <f aca="false">C38</f>
        <v>-0.042</v>
      </c>
      <c r="D54" s="34" t="n">
        <f aca="false">D38</f>
        <v>3.04875</v>
      </c>
      <c r="E54" s="34" t="n">
        <f aca="false">E38</f>
        <v>9.34875</v>
      </c>
      <c r="F54" s="34" t="n">
        <f aca="false">F38</f>
        <v>19.42875</v>
      </c>
      <c r="G54" s="46" t="s">
        <v>119</v>
      </c>
    </row>
    <row r="55" customFormat="false" ht="15" hidden="false" customHeight="false" outlineLevel="0" collapsed="false">
      <c r="A55" s="14" t="s">
        <v>120</v>
      </c>
      <c r="B55" s="47" t="n">
        <f aca="false">Assumptions!B22</f>
        <v>11</v>
      </c>
      <c r="C55" s="47" t="n">
        <f aca="false">Assumptions!C22</f>
        <v>18</v>
      </c>
      <c r="D55" s="47" t="n">
        <f aca="false">Assumptions!D22</f>
        <v>30</v>
      </c>
      <c r="E55" s="47" t="n">
        <f aca="false">Assumptions!E22</f>
        <v>40</v>
      </c>
      <c r="F55" s="47" t="n">
        <f aca="false">Assumptions!F22</f>
        <v>50</v>
      </c>
      <c r="G55" s="46" t="s">
        <v>121</v>
      </c>
    </row>
    <row r="56" customFormat="false" ht="15" hidden="false" customHeight="false" outlineLevel="0" collapsed="false">
      <c r="A56" s="14" t="s">
        <v>122</v>
      </c>
      <c r="B56" s="34" t="n">
        <f aca="false">B44</f>
        <v>-4.08574520547945</v>
      </c>
      <c r="C56" s="34" t="n">
        <f aca="false">C44</f>
        <v>-0.570767123287671</v>
      </c>
      <c r="D56" s="34" t="n">
        <f aca="false">D44</f>
        <v>1.97217465753425</v>
      </c>
      <c r="E56" s="34" t="n">
        <f aca="false">E44</f>
        <v>7.46546232876712</v>
      </c>
      <c r="F56" s="34" t="n">
        <f aca="false">F44</f>
        <v>16.4058732876712</v>
      </c>
      <c r="G56" s="46" t="s">
        <v>119</v>
      </c>
    </row>
    <row r="57" customFormat="false" ht="15" hidden="false" customHeight="false" outlineLevel="0" collapsed="false">
      <c r="A57" s="14" t="s">
        <v>110</v>
      </c>
      <c r="B57" s="34" t="n">
        <f aca="false">B47</f>
        <v>-1.58574520547945</v>
      </c>
      <c r="C57" s="34" t="n">
        <f aca="false">C47</f>
        <v>-1.45651232876712</v>
      </c>
      <c r="D57" s="34" t="n">
        <f aca="false">D47</f>
        <v>0.815662328767125</v>
      </c>
      <c r="E57" s="34" t="n">
        <f aca="false">E47</f>
        <v>8.28112465753425</v>
      </c>
      <c r="F57" s="34" t="n">
        <f aca="false">F47</f>
        <v>24.6869979452055</v>
      </c>
      <c r="G57" s="46" t="s">
        <v>119</v>
      </c>
    </row>
  </sheetData>
  <mergeCells count="9">
    <mergeCell ref="A1:G1"/>
    <mergeCell ref="A2:G2"/>
    <mergeCell ref="A5:G5"/>
    <mergeCell ref="A13:G13"/>
    <mergeCell ref="A18:G18"/>
    <mergeCell ref="A29:G29"/>
    <mergeCell ref="A34:G34"/>
    <mergeCell ref="A40:G40"/>
    <mergeCell ref="A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6" min="2" style="1" width="13"/>
    <col collapsed="false" customWidth="true" hidden="false" outlineLevel="0" max="7" min="7" style="1" width="16"/>
  </cols>
  <sheetData>
    <row r="1" customFormat="false" ht="30" hidden="false" customHeight="true" outlineLevel="0" collapsed="false">
      <c r="A1" s="2" t="s">
        <v>123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124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4" t="s">
        <v>125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5"/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/>
    </row>
    <row r="6" customFormat="false" ht="15" hidden="false" customHeight="false" outlineLevel="0" collapsed="false">
      <c r="A6" s="21" t="s">
        <v>126</v>
      </c>
      <c r="B6" s="48" t="n">
        <f aca="false">'P&amp;L'!B44</f>
        <v>-4.08574520547945</v>
      </c>
      <c r="C6" s="48" t="n">
        <f aca="false">'P&amp;L'!C44</f>
        <v>-0.570767123287671</v>
      </c>
      <c r="D6" s="48" t="n">
        <f aca="false">'P&amp;L'!D44</f>
        <v>1.97217465753425</v>
      </c>
      <c r="E6" s="48" t="n">
        <f aca="false">'P&amp;L'!E44</f>
        <v>7.46546232876712</v>
      </c>
      <c r="F6" s="48" t="n">
        <f aca="false">'P&amp;L'!F44</f>
        <v>16.4058732876712</v>
      </c>
    </row>
    <row r="7" customFormat="false" ht="15" hidden="false" customHeight="false" outlineLevel="0" collapsed="false">
      <c r="A7" s="14" t="s">
        <v>127</v>
      </c>
      <c r="B7" s="49" t="n">
        <f aca="false">1/(1+Assumptions!B43)^1</f>
        <v>0.847457627118644</v>
      </c>
      <c r="C7" s="49" t="n">
        <f aca="false">1/(1+Assumptions!B43)^2</f>
        <v>0.718184429761563</v>
      </c>
      <c r="D7" s="49" t="n">
        <f aca="false">1/(1+Assumptions!B43)^3</f>
        <v>0.608630872679291</v>
      </c>
      <c r="E7" s="49" t="n">
        <f aca="false">1/(1+Assumptions!B43)^4</f>
        <v>0.515788875151941</v>
      </c>
      <c r="F7" s="49" t="n">
        <f aca="false">1/(1+Assumptions!B43)^5</f>
        <v>0.437109216230459</v>
      </c>
    </row>
    <row r="8" customFormat="false" ht="15" hidden="false" customHeight="false" outlineLevel="0" collapsed="false">
      <c r="A8" s="11" t="s">
        <v>128</v>
      </c>
      <c r="B8" s="12" t="n">
        <f aca="false">B6*B7</f>
        <v>-3.46249593684699</v>
      </c>
      <c r="C8" s="12" t="n">
        <f aca="false">C6*C7</f>
        <v>-0.409916060965004</v>
      </c>
      <c r="D8" s="12" t="n">
        <f aca="false">D6*D7</f>
        <v>1.20032638289105</v>
      </c>
      <c r="E8" s="12" t="n">
        <f aca="false">E6*E7</f>
        <v>3.85060241704399</v>
      </c>
      <c r="F8" s="12" t="n">
        <f aca="false">F6*F7</f>
        <v>7.17115841435019</v>
      </c>
    </row>
    <row r="10" customFormat="false" ht="15" hidden="false" customHeight="false" outlineLevel="0" collapsed="false">
      <c r="A10" s="7" t="s">
        <v>129</v>
      </c>
      <c r="B10" s="45" t="n">
        <f aca="false">SUM(B8:F8)</f>
        <v>8.34967521647323</v>
      </c>
    </row>
    <row r="11" customFormat="false" ht="15" hidden="false" customHeight="false" outlineLevel="0" collapsed="false">
      <c r="A11" s="7" t="s">
        <v>130</v>
      </c>
      <c r="B11" s="34" t="n">
        <f aca="false">'P&amp;L'!F30</f>
        <v>26.115</v>
      </c>
    </row>
    <row r="12" customFormat="false" ht="15" hidden="false" customHeight="false" outlineLevel="0" collapsed="false">
      <c r="A12" s="7" t="s">
        <v>131</v>
      </c>
      <c r="B12" s="36" t="n">
        <f aca="false">B11*(1+Assumptions!B44)/(Assumptions!B43-Assumptions!B44)</f>
        <v>210.928846153846</v>
      </c>
    </row>
    <row r="13" customFormat="false" ht="15" hidden="false" customHeight="false" outlineLevel="0" collapsed="false">
      <c r="A13" s="7" t="s">
        <v>132</v>
      </c>
      <c r="B13" s="36" t="n">
        <f aca="false">B12*F7</f>
        <v>92.1989426227027</v>
      </c>
    </row>
    <row r="14" customFormat="false" ht="15" hidden="false" customHeight="false" outlineLevel="0" collapsed="false">
      <c r="A14" s="28" t="s">
        <v>133</v>
      </c>
      <c r="B14" s="29" t="n">
        <f aca="false">B10+B13</f>
        <v>100.548617839176</v>
      </c>
      <c r="G14" s="50" t="s">
        <v>134</v>
      </c>
    </row>
    <row r="16" customFormat="false" ht="15" hidden="false" customHeight="false" outlineLevel="0" collapsed="false">
      <c r="A16" s="4" t="s">
        <v>135</v>
      </c>
      <c r="B16" s="4"/>
      <c r="C16" s="4"/>
      <c r="D16" s="4"/>
      <c r="E16" s="4"/>
      <c r="F16" s="4"/>
      <c r="G16" s="4"/>
    </row>
    <row r="17" customFormat="false" ht="15" hidden="false" customHeight="false" outlineLevel="0" collapsed="false">
      <c r="A17" s="6" t="s">
        <v>136</v>
      </c>
      <c r="B17" s="6" t="s">
        <v>137</v>
      </c>
      <c r="C17" s="6" t="s">
        <v>113</v>
      </c>
      <c r="D17" s="6" t="s">
        <v>138</v>
      </c>
      <c r="E17" s="6" t="s">
        <v>115</v>
      </c>
      <c r="F17" s="6" t="s">
        <v>139</v>
      </c>
      <c r="G17" s="6" t="s">
        <v>140</v>
      </c>
    </row>
    <row r="18" customFormat="false" ht="15" hidden="false" customHeight="false" outlineLevel="0" collapsed="false">
      <c r="A18" s="7" t="s">
        <v>141</v>
      </c>
      <c r="B18" s="23" t="n">
        <v>1200</v>
      </c>
      <c r="C18" s="23" t="n">
        <v>320</v>
      </c>
      <c r="D18" s="51" t="s">
        <v>142</v>
      </c>
      <c r="E18" s="23" t="n">
        <v>64</v>
      </c>
      <c r="F18" s="51" t="s">
        <v>143</v>
      </c>
      <c r="G18" s="52" t="s">
        <v>144</v>
      </c>
    </row>
    <row r="19" customFormat="false" ht="15" hidden="false" customHeight="false" outlineLevel="0" collapsed="false">
      <c r="A19" s="7" t="s">
        <v>145</v>
      </c>
      <c r="B19" s="23" t="n">
        <v>4500</v>
      </c>
      <c r="C19" s="23" t="n">
        <v>900</v>
      </c>
      <c r="D19" s="51" t="s">
        <v>146</v>
      </c>
      <c r="E19" s="23" t="n">
        <v>270</v>
      </c>
      <c r="F19" s="51" t="s">
        <v>147</v>
      </c>
      <c r="G19" s="52" t="s">
        <v>148</v>
      </c>
    </row>
    <row r="20" customFormat="false" ht="15" hidden="false" customHeight="false" outlineLevel="0" collapsed="false">
      <c r="A20" s="7" t="s">
        <v>149</v>
      </c>
      <c r="B20" s="23" t="n">
        <v>2200</v>
      </c>
      <c r="C20" s="23" t="n">
        <v>550</v>
      </c>
      <c r="D20" s="51" t="s">
        <v>150</v>
      </c>
      <c r="E20" s="23" t="n">
        <v>88</v>
      </c>
      <c r="F20" s="51" t="s">
        <v>151</v>
      </c>
      <c r="G20" s="52" t="s">
        <v>152</v>
      </c>
    </row>
    <row r="21" customFormat="false" ht="15" hidden="false" customHeight="false" outlineLevel="0" collapsed="false">
      <c r="A21" s="7" t="s">
        <v>153</v>
      </c>
      <c r="B21" s="23" t="n">
        <v>3100</v>
      </c>
      <c r="C21" s="23" t="n">
        <v>620</v>
      </c>
      <c r="D21" s="51" t="s">
        <v>146</v>
      </c>
      <c r="E21" s="23" t="n">
        <v>93</v>
      </c>
      <c r="F21" s="51" t="s">
        <v>154</v>
      </c>
      <c r="G21" s="52" t="s">
        <v>155</v>
      </c>
    </row>
    <row r="22" customFormat="false" ht="15" hidden="false" customHeight="false" outlineLevel="0" collapsed="false">
      <c r="A22" s="7" t="s">
        <v>156</v>
      </c>
      <c r="B22" s="23" t="n">
        <v>750</v>
      </c>
      <c r="C22" s="23" t="n">
        <v>250</v>
      </c>
      <c r="D22" s="51" t="s">
        <v>157</v>
      </c>
      <c r="E22" s="23" t="n">
        <v>37</v>
      </c>
      <c r="F22" s="51" t="s">
        <v>158</v>
      </c>
      <c r="G22" s="52" t="s">
        <v>159</v>
      </c>
    </row>
    <row r="23" customFormat="false" ht="15" hidden="false" customHeight="false" outlineLevel="0" collapsed="false">
      <c r="A23" s="7" t="s">
        <v>160</v>
      </c>
      <c r="B23" s="23" t="n">
        <v>180</v>
      </c>
      <c r="C23" s="23" t="n">
        <v>90</v>
      </c>
      <c r="D23" s="51" t="s">
        <v>161</v>
      </c>
      <c r="E23" s="23" t="n">
        <v>12</v>
      </c>
      <c r="F23" s="51" t="s">
        <v>162</v>
      </c>
      <c r="G23" s="52" t="s">
        <v>163</v>
      </c>
    </row>
    <row r="24" customFormat="false" ht="15" hidden="false" customHeight="false" outlineLevel="0" collapsed="false">
      <c r="A24" s="53" t="s">
        <v>164</v>
      </c>
      <c r="B24" s="54" t="n">
        <f aca="false">MEDIAN(B18:B23)</f>
        <v>1700</v>
      </c>
      <c r="C24" s="54" t="n">
        <f aca="false">MEDIAN(C18:C23)</f>
        <v>435</v>
      </c>
      <c r="D24" s="55" t="n">
        <v>3.9</v>
      </c>
      <c r="E24" s="54" t="n">
        <f aca="false">MEDIAN(E18:E23)</f>
        <v>76</v>
      </c>
      <c r="F24" s="55" t="n">
        <v>19.5</v>
      </c>
      <c r="G24" s="56" t="s">
        <v>165</v>
      </c>
    </row>
    <row r="26" customFormat="false" ht="15" hidden="false" customHeight="false" outlineLevel="0" collapsed="false">
      <c r="A26" s="39" t="s">
        <v>166</v>
      </c>
      <c r="B26" s="39"/>
      <c r="C26" s="39"/>
      <c r="D26" s="39"/>
      <c r="E26" s="39"/>
      <c r="F26" s="39"/>
      <c r="G26" s="39"/>
    </row>
    <row r="27" customFormat="false" ht="15" hidden="false" customHeight="false" outlineLevel="0" collapsed="false">
      <c r="A27" s="6" t="s">
        <v>167</v>
      </c>
      <c r="B27" s="6" t="s">
        <v>168</v>
      </c>
      <c r="C27" s="6" t="s">
        <v>169</v>
      </c>
      <c r="D27" s="6" t="s">
        <v>170</v>
      </c>
    </row>
    <row r="28" customFormat="false" ht="15" hidden="false" customHeight="false" outlineLevel="0" collapsed="false">
      <c r="A28" s="7" t="s">
        <v>171</v>
      </c>
      <c r="B28" s="57" t="n">
        <f aca="false">Assumptions!B45</f>
        <v>3.9</v>
      </c>
      <c r="C28" s="34" t="n">
        <f aca="false">'P&amp;L'!F10</f>
        <v>93</v>
      </c>
      <c r="D28" s="29" t="n">
        <f aca="false">B28*C28</f>
        <v>362.7</v>
      </c>
      <c r="G28" s="58" t="s">
        <v>172</v>
      </c>
    </row>
    <row r="29" customFormat="false" ht="15" hidden="false" customHeight="false" outlineLevel="0" collapsed="false">
      <c r="A29" s="7" t="s">
        <v>173</v>
      </c>
      <c r="B29" s="57" t="n">
        <f aca="false">Assumptions!B46</f>
        <v>19.5</v>
      </c>
      <c r="C29" s="34" t="n">
        <f aca="false">'P&amp;L'!F30</f>
        <v>26.115</v>
      </c>
      <c r="D29" s="12" t="n">
        <f aca="false">B29*C29</f>
        <v>509.2425</v>
      </c>
    </row>
    <row r="30" customFormat="false" ht="15" hidden="false" customHeight="false" outlineLevel="0" collapsed="false">
      <c r="A30" s="7" t="s">
        <v>174</v>
      </c>
      <c r="B30" s="59" t="s">
        <v>119</v>
      </c>
      <c r="C30" s="59" t="s">
        <v>119</v>
      </c>
      <c r="D30" s="12" t="n">
        <f aca="false">B14</f>
        <v>100.548617839176</v>
      </c>
    </row>
    <row r="32" customFormat="false" ht="15" hidden="false" customHeight="false" outlineLevel="0" collapsed="false">
      <c r="A32" s="4" t="s">
        <v>175</v>
      </c>
      <c r="B32" s="4"/>
      <c r="C32" s="4"/>
      <c r="D32" s="4"/>
      <c r="E32" s="4"/>
      <c r="F32" s="4"/>
      <c r="G32" s="4"/>
    </row>
    <row r="33" customFormat="false" ht="15" hidden="false" customHeight="false" outlineLevel="0" collapsed="false">
      <c r="A33" s="14" t="s">
        <v>176</v>
      </c>
    </row>
    <row r="34" customFormat="false" ht="15" hidden="false" customHeight="false" outlineLevel="0" collapsed="false">
      <c r="A34" s="28" t="s">
        <v>177</v>
      </c>
      <c r="B34" s="29" t="n">
        <f aca="false">AVERAGE(D28:D30)</f>
        <v>324.163705946392</v>
      </c>
      <c r="G34" s="58" t="s">
        <v>178</v>
      </c>
    </row>
  </sheetData>
  <mergeCells count="6">
    <mergeCell ref="A1:G1"/>
    <mergeCell ref="A2:G2"/>
    <mergeCell ref="A4:G4"/>
    <mergeCell ref="A16:G16"/>
    <mergeCell ref="A26:G26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2026-04-28T16:01:23Z</dcterms:created>
  <dc:creator>openpyxl</dc:creator>
  <dc:description/>
  <dc:language>en-US</dc:language>
  <cp:lastModifiedBy/>
  <dcterms:modified xsi:type="dcterms:W3CDTF">2026-04-28T16:01:24Z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