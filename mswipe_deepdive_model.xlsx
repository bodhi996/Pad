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ttacharya Bodhis\Downloads\"/>
    </mc:Choice>
  </mc:AlternateContent>
  <xr:revisionPtr revIDLastSave="0" documentId="13_ncr:1_{D112EE29-6139-4F13-9C98-74CDBCC7DF55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1. Cover" sheetId="1" r:id="rId1"/>
    <sheet name="2. Operating Assumptions" sheetId="2" r:id="rId2"/>
    <sheet name="3. Revenue Build" sheetId="3" r:id="rId3"/>
    <sheet name="4. Cost Build" sheetId="4" r:id="rId4"/>
    <sheet name="5. P&amp;L Forecast" sheetId="5" r:id="rId5"/>
    <sheet name="6. DCF Valuation" sheetId="6" r:id="rId6"/>
    <sheet name="7. Trading Comps" sheetId="7" r:id="rId7"/>
    <sheet name="8. Transaction Comps" sheetId="8" r:id="rId8"/>
    <sheet name="9. Football Field" sheetId="9" r:id="rId9"/>
    <sheet name="10. Deal Structure" sheetId="10" r:id="rId10"/>
    <sheet name="11. Sensitivity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11" l="1"/>
  <c r="G21" i="11"/>
  <c r="F21" i="11"/>
  <c r="E21" i="11"/>
  <c r="D21" i="11"/>
  <c r="C21" i="11"/>
  <c r="B21" i="11"/>
  <c r="H20" i="11"/>
  <c r="G20" i="11"/>
  <c r="F20" i="11"/>
  <c r="E20" i="11"/>
  <c r="D20" i="11"/>
  <c r="C20" i="11"/>
  <c r="B20" i="11"/>
  <c r="H19" i="11"/>
  <c r="G19" i="11"/>
  <c r="F19" i="11"/>
  <c r="E19" i="11"/>
  <c r="D19" i="11"/>
  <c r="C19" i="11"/>
  <c r="B19" i="11"/>
  <c r="H18" i="11"/>
  <c r="G18" i="11"/>
  <c r="F18" i="11"/>
  <c r="E18" i="11"/>
  <c r="D18" i="11"/>
  <c r="C18" i="11"/>
  <c r="B18" i="11"/>
  <c r="H17" i="11"/>
  <c r="G17" i="11"/>
  <c r="F17" i="11"/>
  <c r="E17" i="11"/>
  <c r="D17" i="11"/>
  <c r="C17" i="11"/>
  <c r="B17" i="11"/>
  <c r="B27" i="10"/>
  <c r="B26" i="10"/>
  <c r="B25" i="10"/>
  <c r="B24" i="10"/>
  <c r="B23" i="10"/>
  <c r="B22" i="10"/>
  <c r="B21" i="10"/>
  <c r="B20" i="10"/>
  <c r="G12" i="10"/>
  <c r="H10" i="10" s="1"/>
  <c r="B10" i="10"/>
  <c r="C8" i="10" s="1"/>
  <c r="H20" i="8"/>
  <c r="H19" i="8"/>
  <c r="G18" i="8"/>
  <c r="G29" i="8" s="1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H18" i="8" s="1"/>
  <c r="G5" i="8"/>
  <c r="G20" i="8" s="1"/>
  <c r="H26" i="7"/>
  <c r="G26" i="7"/>
  <c r="H25" i="7"/>
  <c r="G25" i="7"/>
  <c r="H22" i="7"/>
  <c r="G22" i="7"/>
  <c r="H21" i="7"/>
  <c r="G21" i="7"/>
  <c r="J20" i="7"/>
  <c r="I20" i="7"/>
  <c r="H20" i="7"/>
  <c r="G20" i="7"/>
  <c r="H19" i="7"/>
  <c r="G19" i="7"/>
  <c r="H18" i="7"/>
  <c r="G18" i="7"/>
  <c r="H17" i="7"/>
  <c r="G17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I18" i="7" s="1"/>
  <c r="J6" i="7"/>
  <c r="J17" i="7" s="1"/>
  <c r="I6" i="7"/>
  <c r="I26" i="7" s="1"/>
  <c r="J5" i="7"/>
  <c r="J25" i="7" s="1"/>
  <c r="I5" i="7"/>
  <c r="I22" i="7" s="1"/>
  <c r="C43" i="6"/>
  <c r="C44" i="6" s="1"/>
  <c r="E7" i="6"/>
  <c r="D7" i="6"/>
  <c r="C7" i="6"/>
  <c r="G6" i="6"/>
  <c r="G7" i="6" s="1"/>
  <c r="F6" i="6"/>
  <c r="F7" i="6" s="1"/>
  <c r="E6" i="6"/>
  <c r="D6" i="6"/>
  <c r="C6" i="6"/>
  <c r="C38" i="5"/>
  <c r="K29" i="5"/>
  <c r="J29" i="5"/>
  <c r="I29" i="5"/>
  <c r="H29" i="5"/>
  <c r="G29" i="5"/>
  <c r="F29" i="5"/>
  <c r="E29" i="5"/>
  <c r="D29" i="5"/>
  <c r="C29" i="5"/>
  <c r="K23" i="5"/>
  <c r="J23" i="5"/>
  <c r="I23" i="5"/>
  <c r="H23" i="5"/>
  <c r="G23" i="5"/>
  <c r="F23" i="5"/>
  <c r="E23" i="5"/>
  <c r="D23" i="5"/>
  <c r="C23" i="5"/>
  <c r="K21" i="4"/>
  <c r="J21" i="4"/>
  <c r="J22" i="4" s="1"/>
  <c r="J17" i="5" s="1"/>
  <c r="I21" i="4"/>
  <c r="I22" i="4" s="1"/>
  <c r="I17" i="5" s="1"/>
  <c r="H21" i="4"/>
  <c r="H22" i="4" s="1"/>
  <c r="H17" i="5" s="1"/>
  <c r="G21" i="4"/>
  <c r="G22" i="4" s="1"/>
  <c r="G17" i="5" s="1"/>
  <c r="F21" i="4"/>
  <c r="F22" i="4" s="1"/>
  <c r="F17" i="5" s="1"/>
  <c r="E21" i="4"/>
  <c r="E22" i="4" s="1"/>
  <c r="E17" i="5" s="1"/>
  <c r="D21" i="4"/>
  <c r="C21" i="4"/>
  <c r="K20" i="4"/>
  <c r="K22" i="4" s="1"/>
  <c r="K17" i="5" s="1"/>
  <c r="J20" i="4"/>
  <c r="I20" i="4"/>
  <c r="H20" i="4"/>
  <c r="G20" i="4"/>
  <c r="F20" i="4"/>
  <c r="E20" i="4"/>
  <c r="D20" i="4"/>
  <c r="D22" i="4" s="1"/>
  <c r="D17" i="5" s="1"/>
  <c r="C20" i="4"/>
  <c r="C22" i="4" s="1"/>
  <c r="C17" i="5" s="1"/>
  <c r="K13" i="4"/>
  <c r="J13" i="4"/>
  <c r="I13" i="4"/>
  <c r="H13" i="4"/>
  <c r="G13" i="4"/>
  <c r="F13" i="4"/>
  <c r="E13" i="4"/>
  <c r="D13" i="4"/>
  <c r="C13" i="4"/>
  <c r="K9" i="4"/>
  <c r="J9" i="4"/>
  <c r="I9" i="4"/>
  <c r="H9" i="4"/>
  <c r="G9" i="4"/>
  <c r="F9" i="4"/>
  <c r="E9" i="4"/>
  <c r="D9" i="4"/>
  <c r="C9" i="4"/>
  <c r="F28" i="3"/>
  <c r="E28" i="3"/>
  <c r="D28" i="3"/>
  <c r="C28" i="3"/>
  <c r="K27" i="3"/>
  <c r="J27" i="3"/>
  <c r="I27" i="3"/>
  <c r="H27" i="3"/>
  <c r="G27" i="3"/>
  <c r="F27" i="3"/>
  <c r="E27" i="3"/>
  <c r="D27" i="3"/>
  <c r="C27" i="3"/>
  <c r="F26" i="3"/>
  <c r="E26" i="3"/>
  <c r="D26" i="3"/>
  <c r="C26" i="3"/>
  <c r="K22" i="3"/>
  <c r="K12" i="4" s="1"/>
  <c r="K14" i="4" s="1"/>
  <c r="J22" i="3"/>
  <c r="J12" i="4" s="1"/>
  <c r="J14" i="4" s="1"/>
  <c r="I22" i="3"/>
  <c r="I12" i="4" s="1"/>
  <c r="I14" i="4" s="1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H22" i="3" s="1"/>
  <c r="G20" i="3"/>
  <c r="G22" i="3" s="1"/>
  <c r="F20" i="3"/>
  <c r="F22" i="3" s="1"/>
  <c r="E20" i="3"/>
  <c r="E22" i="3" s="1"/>
  <c r="D20" i="3"/>
  <c r="D22" i="3" s="1"/>
  <c r="C20" i="3"/>
  <c r="C22" i="3" s="1"/>
  <c r="K15" i="3"/>
  <c r="J15" i="3"/>
  <c r="I15" i="3"/>
  <c r="H15" i="3"/>
  <c r="G15" i="3"/>
  <c r="F15" i="3"/>
  <c r="E15" i="3"/>
  <c r="D15" i="3"/>
  <c r="C15" i="3"/>
  <c r="K9" i="3"/>
  <c r="J9" i="3"/>
  <c r="I9" i="3"/>
  <c r="H9" i="3"/>
  <c r="G9" i="3"/>
  <c r="F9" i="3"/>
  <c r="E9" i="3"/>
  <c r="D9" i="3"/>
  <c r="C9" i="3"/>
  <c r="F13" i="2"/>
  <c r="F18" i="2" s="1"/>
  <c r="F8" i="3" s="1"/>
  <c r="F10" i="3" s="1"/>
  <c r="F10" i="2"/>
  <c r="F26" i="2" s="1"/>
  <c r="F14" i="3" s="1"/>
  <c r="F16" i="3" s="1"/>
  <c r="E10" i="2"/>
  <c r="E13" i="2" s="1"/>
  <c r="E18" i="2" s="1"/>
  <c r="E8" i="3" s="1"/>
  <c r="E10" i="3" s="1"/>
  <c r="D10" i="2"/>
  <c r="D13" i="2" s="1"/>
  <c r="D18" i="2" s="1"/>
  <c r="D8" i="3" s="1"/>
  <c r="D10" i="3" s="1"/>
  <c r="C10" i="2"/>
  <c r="C13" i="2" s="1"/>
  <c r="C18" i="2" s="1"/>
  <c r="C8" i="3" s="1"/>
  <c r="C10" i="3" s="1"/>
  <c r="G8" i="2"/>
  <c r="H8" i="2" s="1"/>
  <c r="D8" i="4" l="1"/>
  <c r="D10" i="4" s="1"/>
  <c r="E8" i="4"/>
  <c r="E10" i="4" s="1"/>
  <c r="E16" i="4" s="1"/>
  <c r="E32" i="3"/>
  <c r="E44" i="3" s="1"/>
  <c r="E41" i="3"/>
  <c r="F42" i="3"/>
  <c r="C12" i="4"/>
  <c r="C14" i="4" s="1"/>
  <c r="C8" i="4"/>
  <c r="C10" i="4" s="1"/>
  <c r="C16" i="4" s="1"/>
  <c r="F12" i="4"/>
  <c r="F14" i="4" s="1"/>
  <c r="E12" i="4"/>
  <c r="E14" i="4" s="1"/>
  <c r="I37" i="7"/>
  <c r="I36" i="7"/>
  <c r="I35" i="7"/>
  <c r="I34" i="7"/>
  <c r="H12" i="4"/>
  <c r="H14" i="4" s="1"/>
  <c r="D12" i="4"/>
  <c r="D14" i="4" s="1"/>
  <c r="G12" i="4"/>
  <c r="G14" i="4" s="1"/>
  <c r="I8" i="2"/>
  <c r="I10" i="2"/>
  <c r="H10" i="2"/>
  <c r="F8" i="4"/>
  <c r="F10" i="4" s="1"/>
  <c r="F16" i="4" s="1"/>
  <c r="F32" i="3"/>
  <c r="B14" i="10"/>
  <c r="J26" i="7"/>
  <c r="G21" i="8"/>
  <c r="B19" i="10"/>
  <c r="G10" i="2"/>
  <c r="C45" i="6"/>
  <c r="C46" i="6" s="1"/>
  <c r="C49" i="6" s="1"/>
  <c r="C50" i="6" s="1"/>
  <c r="H21" i="8"/>
  <c r="D26" i="2"/>
  <c r="D14" i="3" s="1"/>
  <c r="D16" i="3" s="1"/>
  <c r="D32" i="3" s="1"/>
  <c r="C26" i="2"/>
  <c r="C14" i="3" s="1"/>
  <c r="C16" i="3" s="1"/>
  <c r="E26" i="2"/>
  <c r="E14" i="3" s="1"/>
  <c r="E16" i="3" s="1"/>
  <c r="I21" i="7"/>
  <c r="J21" i="7"/>
  <c r="J19" i="7"/>
  <c r="I25" i="7"/>
  <c r="C6" i="10"/>
  <c r="I17" i="7"/>
  <c r="H6" i="10"/>
  <c r="J22" i="7"/>
  <c r="C7" i="10"/>
  <c r="H7" i="10"/>
  <c r="H8" i="10"/>
  <c r="J18" i="7"/>
  <c r="H9" i="10"/>
  <c r="G19" i="8"/>
  <c r="I19" i="7"/>
  <c r="D6" i="5" l="1"/>
  <c r="D44" i="3"/>
  <c r="D41" i="3"/>
  <c r="D43" i="3"/>
  <c r="F26" i="4"/>
  <c r="F28" i="4" s="1"/>
  <c r="F16" i="5"/>
  <c r="F18" i="5" s="1"/>
  <c r="E26" i="4"/>
  <c r="E28" i="4" s="1"/>
  <c r="E16" i="5"/>
  <c r="E18" i="5" s="1"/>
  <c r="C32" i="3"/>
  <c r="E42" i="3"/>
  <c r="H13" i="2"/>
  <c r="H18" i="2" s="1"/>
  <c r="H8" i="3" s="1"/>
  <c r="H10" i="3" s="1"/>
  <c r="H26" i="2"/>
  <c r="H14" i="3" s="1"/>
  <c r="H16" i="3" s="1"/>
  <c r="H26" i="3"/>
  <c r="H28" i="3" s="1"/>
  <c r="G26" i="3"/>
  <c r="G28" i="3" s="1"/>
  <c r="G13" i="2"/>
  <c r="G18" i="2" s="1"/>
  <c r="G8" i="3" s="1"/>
  <c r="G10" i="3" s="1"/>
  <c r="G26" i="2"/>
  <c r="G14" i="3" s="1"/>
  <c r="G16" i="3" s="1"/>
  <c r="C26" i="4"/>
  <c r="C28" i="4" s="1"/>
  <c r="C16" i="5"/>
  <c r="C18" i="5" s="1"/>
  <c r="D16" i="4"/>
  <c r="G30" i="8"/>
  <c r="G28" i="8"/>
  <c r="D42" i="3"/>
  <c r="I13" i="2"/>
  <c r="I18" i="2" s="1"/>
  <c r="I8" i="3" s="1"/>
  <c r="I10" i="3" s="1"/>
  <c r="I26" i="2"/>
  <c r="I14" i="3" s="1"/>
  <c r="I16" i="3" s="1"/>
  <c r="I26" i="3"/>
  <c r="I28" i="3" s="1"/>
  <c r="J8" i="2"/>
  <c r="F36" i="3"/>
  <c r="F44" i="3"/>
  <c r="F37" i="3"/>
  <c r="F33" i="3"/>
  <c r="F6" i="5"/>
  <c r="E33" i="3"/>
  <c r="E6" i="5"/>
  <c r="E43" i="3"/>
  <c r="F41" i="3"/>
  <c r="F43" i="3"/>
  <c r="K8" i="2" l="1"/>
  <c r="K10" i="2" s="1"/>
  <c r="J10" i="2"/>
  <c r="F20" i="5"/>
  <c r="F7" i="5"/>
  <c r="F37" i="5"/>
  <c r="F38" i="5"/>
  <c r="F12" i="5"/>
  <c r="F24" i="5"/>
  <c r="F36" i="5" s="1"/>
  <c r="E25" i="8"/>
  <c r="I29" i="8" s="1"/>
  <c r="E30" i="7"/>
  <c r="G8" i="4"/>
  <c r="G10" i="4" s="1"/>
  <c r="G16" i="4" s="1"/>
  <c r="G32" i="3"/>
  <c r="H44" i="3"/>
  <c r="I32" i="3"/>
  <c r="I41" i="3"/>
  <c r="I8" i="4"/>
  <c r="I10" i="4" s="1"/>
  <c r="I16" i="4" s="1"/>
  <c r="C6" i="5"/>
  <c r="C43" i="3"/>
  <c r="C44" i="3"/>
  <c r="C41" i="3"/>
  <c r="C42" i="3"/>
  <c r="I44" i="3"/>
  <c r="H32" i="3"/>
  <c r="H41" i="3"/>
  <c r="H8" i="4"/>
  <c r="H10" i="4" s="1"/>
  <c r="H16" i="4" s="1"/>
  <c r="D26" i="4"/>
  <c r="D28" i="4" s="1"/>
  <c r="D16" i="5"/>
  <c r="D18" i="5" s="1"/>
  <c r="D20" i="5" s="1"/>
  <c r="E20" i="5"/>
  <c r="E37" i="5"/>
  <c r="E7" i="5"/>
  <c r="E12" i="5"/>
  <c r="E38" i="5"/>
  <c r="E24" i="5"/>
  <c r="E36" i="5" s="1"/>
  <c r="D7" i="5"/>
  <c r="D24" i="5"/>
  <c r="D36" i="5" s="1"/>
  <c r="D37" i="5"/>
  <c r="D12" i="5"/>
  <c r="D38" i="5"/>
  <c r="D33" i="3"/>
  <c r="D26" i="5" l="1"/>
  <c r="D21" i="5"/>
  <c r="K13" i="2"/>
  <c r="K18" i="2" s="1"/>
  <c r="K8" i="3" s="1"/>
  <c r="K10" i="3" s="1"/>
  <c r="K26" i="3"/>
  <c r="K28" i="3" s="1"/>
  <c r="K26" i="2"/>
  <c r="K14" i="3" s="1"/>
  <c r="K16" i="3" s="1"/>
  <c r="G33" i="3"/>
  <c r="G6" i="5"/>
  <c r="G43" i="3"/>
  <c r="I30" i="8"/>
  <c r="E26" i="5"/>
  <c r="E21" i="5"/>
  <c r="F26" i="5"/>
  <c r="F21" i="5"/>
  <c r="G41" i="3"/>
  <c r="I33" i="3"/>
  <c r="I6" i="5"/>
  <c r="I43" i="3"/>
  <c r="G42" i="3"/>
  <c r="H26" i="4"/>
  <c r="H28" i="4" s="1"/>
  <c r="H16" i="5"/>
  <c r="H18" i="5" s="1"/>
  <c r="J37" i="7"/>
  <c r="J34" i="7"/>
  <c r="J36" i="7"/>
  <c r="J35" i="7"/>
  <c r="H33" i="3"/>
  <c r="H6" i="5"/>
  <c r="H43" i="3"/>
  <c r="H42" i="3"/>
  <c r="I42" i="3"/>
  <c r="J13" i="2"/>
  <c r="J18" i="2" s="1"/>
  <c r="J8" i="3" s="1"/>
  <c r="J10" i="3" s="1"/>
  <c r="J26" i="2"/>
  <c r="J14" i="3" s="1"/>
  <c r="J16" i="3" s="1"/>
  <c r="J26" i="3"/>
  <c r="J28" i="3" s="1"/>
  <c r="C37" i="5"/>
  <c r="C20" i="5"/>
  <c r="C12" i="5"/>
  <c r="C24" i="5"/>
  <c r="C36" i="5" s="1"/>
  <c r="G26" i="4"/>
  <c r="G28" i="4" s="1"/>
  <c r="G16" i="5"/>
  <c r="G18" i="5" s="1"/>
  <c r="I28" i="8"/>
  <c r="G44" i="3"/>
  <c r="I16" i="5"/>
  <c r="I18" i="5" s="1"/>
  <c r="I26" i="4"/>
  <c r="I28" i="4" s="1"/>
  <c r="C26" i="5" l="1"/>
  <c r="C21" i="5"/>
  <c r="F27" i="5"/>
  <c r="F30" i="5"/>
  <c r="F31" i="5" s="1"/>
  <c r="F35" i="5" s="1"/>
  <c r="F40" i="5" s="1"/>
  <c r="F41" i="5" s="1"/>
  <c r="E30" i="5"/>
  <c r="E31" i="5" s="1"/>
  <c r="E35" i="5" s="1"/>
  <c r="E40" i="5" s="1"/>
  <c r="E41" i="5" s="1"/>
  <c r="E27" i="5"/>
  <c r="I20" i="5"/>
  <c r="I7" i="5"/>
  <c r="I37" i="5"/>
  <c r="I38" i="5"/>
  <c r="I24" i="5"/>
  <c r="I36" i="5" s="1"/>
  <c r="J32" i="3"/>
  <c r="J41" i="3" s="1"/>
  <c r="J8" i="4"/>
  <c r="J10" i="4" s="1"/>
  <c r="J16" i="4" s="1"/>
  <c r="K32" i="3"/>
  <c r="K41" i="3"/>
  <c r="K8" i="4"/>
  <c r="K10" i="4" s="1"/>
  <c r="K16" i="4" s="1"/>
  <c r="G20" i="5"/>
  <c r="G7" i="5"/>
  <c r="G37" i="5"/>
  <c r="G24" i="5"/>
  <c r="G36" i="5" s="1"/>
  <c r="G38" i="5"/>
  <c r="E31" i="7"/>
  <c r="H20" i="5"/>
  <c r="H7" i="5"/>
  <c r="H37" i="5"/>
  <c r="H24" i="5"/>
  <c r="H36" i="5" s="1"/>
  <c r="H38" i="5"/>
  <c r="D27" i="5"/>
  <c r="D30" i="5"/>
  <c r="D31" i="5"/>
  <c r="D35" i="5" s="1"/>
  <c r="D40" i="5" s="1"/>
  <c r="D41" i="5" s="1"/>
  <c r="K26" i="4" l="1"/>
  <c r="K28" i="4" s="1"/>
  <c r="K16" i="5"/>
  <c r="K18" i="5" s="1"/>
  <c r="K33" i="3"/>
  <c r="K6" i="5"/>
  <c r="K43" i="3"/>
  <c r="H26" i="5"/>
  <c r="H21" i="5"/>
  <c r="J6" i="5"/>
  <c r="J33" i="3"/>
  <c r="J43" i="3"/>
  <c r="I26" i="5"/>
  <c r="I21" i="5"/>
  <c r="K42" i="3"/>
  <c r="J26" i="4"/>
  <c r="J28" i="4" s="1"/>
  <c r="J16" i="5"/>
  <c r="J18" i="5" s="1"/>
  <c r="K34" i="7"/>
  <c r="K35" i="7"/>
  <c r="K37" i="7"/>
  <c r="K36" i="7"/>
  <c r="G26" i="5"/>
  <c r="G21" i="5"/>
  <c r="K44" i="3"/>
  <c r="J44" i="3"/>
  <c r="J42" i="3"/>
  <c r="C27" i="5"/>
  <c r="C30" i="5"/>
  <c r="C31" i="5" s="1"/>
  <c r="C35" i="5" s="1"/>
  <c r="C40" i="5" s="1"/>
  <c r="C41" i="5" s="1"/>
  <c r="I27" i="5" l="1"/>
  <c r="I30" i="5"/>
  <c r="I31" i="5" s="1"/>
  <c r="I35" i="5" s="1"/>
  <c r="I40" i="5" s="1"/>
  <c r="G27" i="5"/>
  <c r="G30" i="5"/>
  <c r="G31" i="5" s="1"/>
  <c r="G35" i="5" s="1"/>
  <c r="G40" i="5" s="1"/>
  <c r="J37" i="5"/>
  <c r="J20" i="5"/>
  <c r="J7" i="5"/>
  <c r="J38" i="5"/>
  <c r="J24" i="5"/>
  <c r="J36" i="5" s="1"/>
  <c r="H27" i="5"/>
  <c r="H30" i="5"/>
  <c r="H31" i="5" s="1"/>
  <c r="H35" i="5" s="1"/>
  <c r="H40" i="5" s="1"/>
  <c r="K38" i="5"/>
  <c r="K20" i="5"/>
  <c r="K7" i="5"/>
  <c r="K24" i="5"/>
  <c r="K36" i="5" s="1"/>
  <c r="K37" i="5"/>
  <c r="D11" i="6" l="1"/>
  <c r="D12" i="6" s="1"/>
  <c r="H41" i="5"/>
  <c r="C11" i="6"/>
  <c r="C12" i="6" s="1"/>
  <c r="G41" i="5"/>
  <c r="I41" i="5"/>
  <c r="E11" i="6"/>
  <c r="E12" i="6" s="1"/>
  <c r="J26" i="5"/>
  <c r="J21" i="5"/>
  <c r="K21" i="5"/>
  <c r="K26" i="5"/>
  <c r="K27" i="5" l="1"/>
  <c r="K30" i="5"/>
  <c r="K31" i="5" s="1"/>
  <c r="K35" i="5" s="1"/>
  <c r="K40" i="5" s="1"/>
  <c r="J27" i="5"/>
  <c r="J30" i="5"/>
  <c r="J31" i="5" s="1"/>
  <c r="J35" i="5" s="1"/>
  <c r="J40" i="5" s="1"/>
  <c r="K41" i="5" l="1"/>
  <c r="G11" i="6"/>
  <c r="J41" i="5"/>
  <c r="F11" i="6"/>
  <c r="F12" i="6" s="1"/>
  <c r="C7" i="11"/>
  <c r="F8" i="11"/>
  <c r="B11" i="11"/>
  <c r="C8" i="11"/>
  <c r="D9" i="11"/>
  <c r="H11" i="11"/>
  <c r="B9" i="11"/>
  <c r="F11" i="11"/>
  <c r="E8" i="11"/>
  <c r="H9" i="11"/>
  <c r="B7" i="11"/>
  <c r="D8" i="11"/>
  <c r="G9" i="11"/>
  <c r="B8" i="11"/>
  <c r="G7" i="11"/>
  <c r="G11" i="11"/>
  <c r="E10" i="11"/>
  <c r="D10" i="11"/>
  <c r="D11" i="11"/>
  <c r="C11" i="11"/>
  <c r="F9" i="11"/>
  <c r="C9" i="11"/>
  <c r="G10" i="11"/>
  <c r="H7" i="11"/>
  <c r="F10" i="11"/>
  <c r="F7" i="11"/>
  <c r="G8" i="11"/>
  <c r="E11" i="11"/>
  <c r="B10" i="11"/>
  <c r="E7" i="11"/>
  <c r="E9" i="11"/>
  <c r="D7" i="11"/>
  <c r="H8" i="11"/>
  <c r="H10" i="11"/>
  <c r="C10" i="11"/>
  <c r="C21" i="6" l="1"/>
  <c r="H14" i="6"/>
  <c r="H15" i="6" s="1"/>
  <c r="H16" i="6" s="1"/>
  <c r="C22" i="6" s="1"/>
  <c r="G12" i="6"/>
  <c r="C23" i="6" l="1"/>
  <c r="C35" i="6" l="1"/>
  <c r="C34" i="6"/>
  <c r="C33" i="6"/>
  <c r="C29" i="6"/>
  <c r="C48" i="6" s="1"/>
  <c r="C25" i="6"/>
  <c r="C26" i="6"/>
  <c r="C52" i="6" l="1"/>
  <c r="C5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35" authorId="0" shapeId="0" xr:uid="{00000000-0006-0000-0200-000001000000}">
      <text>
        <r>
          <rPr>
            <sz val="10"/>
            <rFont val="Arial"/>
            <family val="2"/>
          </rPr>
          <t>Source: Tracxn / Inc42 FY25 estimates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8" authorId="0" shapeId="0" xr:uid="{00000000-0006-0000-0500-000001000000}">
      <text>
        <r>
          <rPr>
            <sz val="10"/>
            <rFont val="Arial"/>
            <family val="2"/>
          </rPr>
          <t>Last reported: ~₹50 Cr net cash after Feb 2024 bridge round. To be diligenced.</t>
        </r>
      </text>
    </comment>
    <comment ref="C45" authorId="0" shapeId="0" xr:uid="{00000000-0006-0000-0500-000002000000}">
      <text>
        <r>
          <rPr>
            <sz val="10"/>
            <rFont val="Arial"/>
            <family val="2"/>
          </rPr>
          <t>Synergy run-rate (post-tax @ 75%) capitalized via Gordon Growth, discounted 4.5y</t>
        </r>
      </text>
    </comment>
  </commentList>
</comments>
</file>

<file path=xl/sharedStrings.xml><?xml version="1.0" encoding="utf-8"?>
<sst xmlns="http://schemas.openxmlformats.org/spreadsheetml/2006/main" count="460" uniqueCount="388">
  <si>
    <t>Mswipe Technologies — Bottoms-Up Valuation Model</t>
  </si>
  <si>
    <t>A discussion document accompanying the Project Pinnacle strategy deck.</t>
  </si>
  <si>
    <t>INVESTMENT THESIS — WHY MSWIPE</t>
  </si>
  <si>
    <t>1. Distressed asset</t>
  </si>
  <si>
    <t>Last priced at $210M in 2017; capital-starved since 2024 bridge round; willing seller.</t>
  </si>
  <si>
    <t>2. #3 offline mPOS scale</t>
  </si>
  <si>
    <t>~700K merchants, 16,000 pin codes, ₹342 Cr FY25 revenue — #3 after Pine Labs and BharatPe.</t>
  </si>
  <si>
    <t>3. Defensive consolidation</t>
  </si>
  <si>
    <t>Removes the #3 competitor and lifts Pine Labs offline market share from ~38% → ~50%.</t>
  </si>
  <si>
    <t>4. Cost synergy clarity</t>
  </si>
  <si>
    <t>~₹160 Cr run-rate cost synergies from terminal SKU consolidation, cloud / BD / G&amp;A overlap.</t>
  </si>
  <si>
    <t>5. Mcapital optionality</t>
  </si>
  <si>
    <t>Mswipe's lending license + ~700K merchant data = adjacent fintech revenue stream.</t>
  </si>
  <si>
    <t>6. Actionable timeline</t>
  </si>
  <si>
    <t>Distressed seller + clear synergy logic = highest-conviction, lowest-execution-risk deal.</t>
  </si>
  <si>
    <t>COLOR CONVENTIONS</t>
  </si>
  <si>
    <t>Hardcoded inputs</t>
  </si>
  <si>
    <t>1,234</t>
  </si>
  <si>
    <t>Formulas / calculations</t>
  </si>
  <si>
    <t>B5 * C10</t>
  </si>
  <si>
    <t>Cross-sheet links</t>
  </si>
  <si>
    <t>'2. Operating Assumptions'!B10</t>
  </si>
  <si>
    <t>MODEL CONTENTS</t>
  </si>
  <si>
    <t>1. Cover</t>
  </si>
  <si>
    <t>This page</t>
  </si>
  <si>
    <t>2. Operating Assumptions</t>
  </si>
  <si>
    <t>Merchant counts, GTV, take rates, terminal economics</t>
  </si>
  <si>
    <t>3. Revenue Build</t>
  </si>
  <si>
    <t>Bottoms-up revenue by segment (acquiring, terminal, lending, VAS)</t>
  </si>
  <si>
    <t>4. Cost Build</t>
  </si>
  <si>
    <t>Variable + fixed cost stack with unit economics</t>
  </si>
  <si>
    <t>5. P&amp;L Forecast</t>
  </si>
  <si>
    <t>FY22–FY30 income statement</t>
  </si>
  <si>
    <t>6. DCF Valuation</t>
  </si>
  <si>
    <t>5-year explicit forecast + terminal value (Gordon Growth)</t>
  </si>
  <si>
    <t>7. Trading Comps</t>
  </si>
  <si>
    <t>Listed payments / fintech comparables with multiples</t>
  </si>
  <si>
    <t>8. Transaction Comps</t>
  </si>
  <si>
    <t>Precedent M&amp;A transactions in payments</t>
  </si>
  <si>
    <t>9. Football Field</t>
  </si>
  <si>
    <t>Valuation range across methodologies</t>
  </si>
  <si>
    <t>10. Deal Structure</t>
  </si>
  <si>
    <t>Sources &amp; uses, financing, control premium</t>
  </si>
  <si>
    <t>11. Sensitivity</t>
  </si>
  <si>
    <t>Two-way tables: WACC × TGR, take rate × merchant growth</t>
  </si>
  <si>
    <t>KEY DATA SOURCES</t>
  </si>
  <si>
    <t>• Mswipe MCA / RoC filings: FY22 (₹230 Cr), FY23 (₹274 Cr), FY24 (₹277 Cr revenue, ₹46 Cr loss)</t>
  </si>
  <si>
    <t>• Mswipe FY25 Tracxn / Inc42 data: ₹342 Cr revenue (+21% YoY); EBITDA margin ~2%</t>
  </si>
  <si>
    <t>• Mswipe public press: Series F bridge Feb 2024 ($20M from existing investors), last mark $210M (2017)</t>
  </si>
  <si>
    <t>• Operating data: 700K merchants, 16,000 pin codes, 60K daily transactions/terminal (industry data)</t>
  </si>
  <si>
    <t>• Comps: Pine Labs IPO RHP (Nov 2025), Razorpay/Cashfree public reports, FactSet trading data</t>
  </si>
  <si>
    <t>• Precedent transactions: Worldline-Bambora, FIS-Worldpay, Innoviti-PayMate, Pine Labs-Mosambee</t>
  </si>
  <si>
    <t>IMPORTANT</t>
  </si>
  <si>
    <t>This model is illustrative and for discussion purposes only. Segment-level revenue splits are analyst estimates based on Mswipe's published financials, public statements, and industry benchmarks. Synergy estimates would be subject to detailed due diligence and management access.</t>
  </si>
  <si>
    <t>Mswipe — Operating Assumptions</t>
  </si>
  <si>
    <t>All inputs in blue. Current model state: standalone forecast (pre-acquisition).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</si>
  <si>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</si>
  <si>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</si>
  <si>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</si>
  <si>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</si>
  <si>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</si>
  <si>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</si>
  <si>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</si>
  <si>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</si>
  <si>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</si>
  <si>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Source / Notes</t>
  </si>
  <si>
    <t>MERCHANT BASE &amp; DISTRIBUTION</t>
  </si>
  <si>
    <t>Active merchants (thousands)</t>
  </si>
  <si>
    <t>Hist: Mswipe public statements; Fcst: post-deal stabilization</t>
  </si>
  <si>
    <t>Merchant growth (% YoY)</t>
  </si>
  <si>
    <t>Average merchants (year, '000)</t>
  </si>
  <si>
    <t>Terminals per merchant (avg)</t>
  </si>
  <si>
    <t>Active terminals ('000)</t>
  </si>
  <si>
    <t>GTV &amp; PAYMENTS ECONOMICS</t>
  </si>
  <si>
    <t>Monthly GTV per terminal (₹ '000)</t>
  </si>
  <si>
    <t>Industry: Pine Labs ~₹2L; Mswipe SME-skewed lower</t>
  </si>
  <si>
    <t>Total GTV (₹ Cr)</t>
  </si>
  <si>
    <t>MDR — net take rate (bps)</t>
  </si>
  <si>
    <t>Net of interchange, scheme fees — illustrative</t>
  </si>
  <si>
    <t>MCAPITAL — LENDING ECONOMICS</t>
  </si>
  <si>
    <t>% merchants with active loan</t>
  </si>
  <si>
    <t>Avg loan ticket (₹ '000)</t>
  </si>
  <si>
    <t>Loan book (₹ Cr)</t>
  </si>
  <si>
    <t>Net interest spread (% on book)</t>
  </si>
  <si>
    <t>VAS &amp; TERMINAL SALES</t>
  </si>
  <si>
    <t>Terminal sales (units, '000)</t>
  </si>
  <si>
    <t>Avg terminal sale price (₹ '000)</t>
  </si>
  <si>
    <t>VAS / subscription ARPU (₹ / merchant / yr)</t>
  </si>
  <si>
    <t>COST DRIVERS</t>
  </si>
  <si>
    <t>Variable cost (% of MDR revenue)</t>
  </si>
  <si>
    <t>Interchange, processing, network fees passthrough</t>
  </si>
  <si>
    <t>Terminal COGS (% of terminal sale)</t>
  </si>
  <si>
    <t>Employee cost (₹ Cr)</t>
  </si>
  <si>
    <t>Other opex (₹ Cr)</t>
  </si>
  <si>
    <t>D&amp;A (% of revenue)</t>
  </si>
  <si>
    <t>Capex (% of revenue)</t>
  </si>
  <si>
    <t>NWC change (% of Δrev)</t>
  </si>
  <si>
    <t>Effective tax rate</t>
  </si>
  <si>
    <t>VALUATION PARAMETERS</t>
  </si>
  <si>
    <t>WACC</t>
  </si>
  <si>
    <t>Equity risk premium 7%, beta 1.3, Rf 6.5%</t>
  </si>
  <si>
    <t>Terminal growth rate</t>
  </si>
  <si>
    <t>India long-term real GDP + inflation ~ 4%</t>
  </si>
  <si>
    <t>Exit multiple (EV/EBITDA)</t>
  </si>
  <si>
    <t>Sensitivity input for exit-multiple method</t>
  </si>
  <si>
    <t>Forecast period (years)</t>
  </si>
  <si>
    <t>FY26E–FY30E</t>
  </si>
  <si>
    <t>Control premium</t>
  </si>
  <si>
    <t>Typical for distressed control deals</t>
  </si>
  <si>
    <t>Synergy share to seller (%)</t>
  </si>
  <si>
    <t>PA standard: 20–30% of run-rate value to seller</t>
  </si>
  <si>
    <t>Mswipe — Revenue Build by Segment</t>
  </si>
  <si>
    <t>Bottoms-up: MDR + Mcapital + Terminal + VAS. Reconciles to reported figures.</t>
  </si>
  <si>
    <t>1. MDR / ACQUIRING REVENUE</t>
  </si>
  <si>
    <t>GTV (₹ Cr)</t>
  </si>
  <si>
    <t>Take rate (bps)</t>
  </si>
  <si>
    <t>MDR revenue (₹ Cr)</t>
  </si>
  <si>
    <t>2. MCAPITAL — LENDING REVENUE</t>
  </si>
  <si>
    <t>Avg loan book (₹ Cr)</t>
  </si>
  <si>
    <t>Net interest spread</t>
  </si>
  <si>
    <t>Lending revenue (₹ Cr)</t>
  </si>
  <si>
    <t>3. TERMINAL SALES</t>
  </si>
  <si>
    <t>Terminal units sold ('000)</t>
  </si>
  <si>
    <t>Avg sale price (₹ '000)</t>
  </si>
  <si>
    <t>Terminal sales revenue (₹ Cr)</t>
  </si>
  <si>
    <t>4. VAS / SUBSCRIPTION REVENUE</t>
  </si>
  <si>
    <t>Avg merchants ('000)</t>
  </si>
  <si>
    <t>VAS ARPU (₹ / merchant / yr)</t>
  </si>
  <si>
    <t>VAS / Subscription revenue (₹ Cr)</t>
  </si>
  <si>
    <t>TOTAL REVENUE</t>
  </si>
  <si>
    <t>Total revenue (₹ Cr)</t>
  </si>
  <si>
    <t>Revenue growth (YoY)</t>
  </si>
  <si>
    <t>Reported FY25 revenue (₹ Cr)</t>
  </si>
  <si>
    <t>Model FY25 (calc)</t>
  </si>
  <si>
    <t>Variance vs. reported</t>
  </si>
  <si>
    <t>REVENUE MIX (%)</t>
  </si>
  <si>
    <t>MDR / Acquiring</t>
  </si>
  <si>
    <t>Mcapital / Lending</t>
  </si>
  <si>
    <t>Terminal sales</t>
  </si>
  <si>
    <t>VAS / Subscription</t>
  </si>
  <si>
    <t>Mswipe — Cost Build</t>
  </si>
  <si>
    <t>Variable + fixed cost stack; reconciles to historical EBITDA.</t>
  </si>
  <si>
    <t>VARIABLE COSTS</t>
  </si>
  <si>
    <t>Variable cost ratio</t>
  </si>
  <si>
    <t>Interchange + scheme + processing</t>
  </si>
  <si>
    <t>Terminal revenue (₹ Cr)</t>
  </si>
  <si>
    <t>Terminal COGS ratio</t>
  </si>
  <si>
    <t>Terminal COGS</t>
  </si>
  <si>
    <t>Total variable costs</t>
  </si>
  <si>
    <t>FIXED / OPERATING COSTS</t>
  </si>
  <si>
    <t>Total fixed costs</t>
  </si>
  <si>
    <t>TOTAL COSTS</t>
  </si>
  <si>
    <t>Total operating costs</t>
  </si>
  <si>
    <t>Cost as % of revenue</t>
  </si>
  <si>
    <t>Mswipe — Income Statement</t>
  </si>
  <si>
    <t>P&amp;L FY22–FY30. Historical (FY22–FY25) bridged to forecast (FY26–FY30).</t>
  </si>
  <si>
    <t>Revenue</t>
  </si>
  <si>
    <t>REPORTED (BENCHMARK)</t>
  </si>
  <si>
    <t>Reported revenue (₹ Cr)</t>
  </si>
  <si>
    <t>MCA filings + Tracxn</t>
  </si>
  <si>
    <t>Model variance</t>
  </si>
  <si>
    <t>OPERATING EXPENSES</t>
  </si>
  <si>
    <t>Variable costs</t>
  </si>
  <si>
    <t>Fixed costs</t>
  </si>
  <si>
    <t>EBITDA</t>
  </si>
  <si>
    <t>EBITDA margin</t>
  </si>
  <si>
    <t>D&amp;A</t>
  </si>
  <si>
    <t>EBIT</t>
  </si>
  <si>
    <t>EBIT margin</t>
  </si>
  <si>
    <t>Tax</t>
  </si>
  <si>
    <t>NOPAT (EBIT × (1−t))</t>
  </si>
  <si>
    <t>UNLEVERED FREE CASH FLOW</t>
  </si>
  <si>
    <t>NOPAT</t>
  </si>
  <si>
    <t>+ D&amp;A</t>
  </si>
  <si>
    <t>− Capex</t>
  </si>
  <si>
    <t>− Δ NWC</t>
  </si>
  <si>
    <t>Unlevered FCF</t>
  </si>
  <si>
    <t>FCF margin</t>
  </si>
  <si>
    <t>Mswipe — DCF Valuation</t>
  </si>
  <si>
    <t>Discounted unlevered FCF + Gordon Growth terminal. Sensitivity on next tab.</t>
  </si>
  <si>
    <t>Terminal</t>
  </si>
  <si>
    <t>Year (n) — mid-year convention</t>
  </si>
  <si>
    <t>Discount factor</t>
  </si>
  <si>
    <t>DCF — STANDALONE</t>
  </si>
  <si>
    <t>Unlevered FCF (₹ Cr)</t>
  </si>
  <si>
    <t>PV of FCF</t>
  </si>
  <si>
    <t>Terminal year FCF (year 5)</t>
  </si>
  <si>
    <t>Terminal value (Gordon Growth)</t>
  </si>
  <si>
    <t>PV of terminal value</t>
  </si>
  <si>
    <t>VALUATION SUMMARY</t>
  </si>
  <si>
    <t>Sum of PV of explicit FCF</t>
  </si>
  <si>
    <t>Enterprise value</t>
  </si>
  <si>
    <t>PV explicit / EV</t>
  </si>
  <si>
    <t>PV terminal / EV</t>
  </si>
  <si>
    <t>Less: Net debt (Mswipe, ₹ Cr)</t>
  </si>
  <si>
    <t>Equity value</t>
  </si>
  <si>
    <t>IMPLIED MULTIPLES — STANDALONE</t>
  </si>
  <si>
    <t>EV / FY25 revenue</t>
  </si>
  <si>
    <t>EV / FY26E revenue</t>
  </si>
  <si>
    <t>EV / FY27E EBITDA</t>
  </si>
  <si>
    <t>VALUE WITH SYNERGIES TO ACQUIRER</t>
  </si>
  <si>
    <t>Cost synergies — run-rate (₹ Cr)</t>
  </si>
  <si>
    <t>Revenue synergies — run-rate (₹ Cr)</t>
  </si>
  <si>
    <t>Synergy EBITDA margin</t>
  </si>
  <si>
    <t>Total run-rate synergy EBITDA (₹ Cr)</t>
  </si>
  <si>
    <t>PV of synergies (5y, ramp 0/30/65/90/100%, 12% disc)</t>
  </si>
  <si>
    <t>+ PV terminal synergy (post-tax @75%)</t>
  </si>
  <si>
    <t>Total synergy NPV (₹ Cr)</t>
  </si>
  <si>
    <t>Standalone equity value</t>
  </si>
  <si>
    <t>+ Synergy NPV (to acquirer pre-share)</t>
  </si>
  <si>
    <t>− Share of synergy to seller</t>
  </si>
  <si>
    <t>+ Control premium</t>
  </si>
  <si>
    <t>Indicative offer envelope (₹ Cr)</t>
  </si>
  <si>
    <t>Trading Comparables — Listed Payments / Fintech</t>
  </si>
  <si>
    <t>Multiples-based view; Mswipe valuation by analogy.</t>
  </si>
  <si>
    <t>Company</t>
  </si>
  <si>
    <t>Geo</t>
  </si>
  <si>
    <t>Market cap ($M)</t>
  </si>
  <si>
    <t>EV ($M)</t>
  </si>
  <si>
    <t>Revenue ($M)</t>
  </si>
  <si>
    <t>EBITDA ($M)</t>
  </si>
  <si>
    <t>Rev growth</t>
  </si>
  <si>
    <t>EV/Revenue</t>
  </si>
  <si>
    <t>EV/EBITDA</t>
  </si>
  <si>
    <t>Notes</t>
  </si>
  <si>
    <t>Pine Labs</t>
  </si>
  <si>
    <t>India</t>
  </si>
  <si>
    <t>Listed Nov 2025, ~₹25K Cr mcap</t>
  </si>
  <si>
    <t>PayTM (One97)</t>
  </si>
  <si>
    <t>Recovering from regulatory issues</t>
  </si>
  <si>
    <t>Razorpay</t>
  </si>
  <si>
    <t>Pre-IPO, last priced 2022</t>
  </si>
  <si>
    <t>Cashfree Payments</t>
  </si>
  <si>
    <t>Pre-IPO, late-stage</t>
  </si>
  <si>
    <t>InfoBeans / Innoviti</t>
  </si>
  <si>
    <t>POS player, smaller scale</t>
  </si>
  <si>
    <t>Worldline (FR)</t>
  </si>
  <si>
    <t>Europe</t>
  </si>
  <si>
    <t>Listed; recent comp deteriorating</t>
  </si>
  <si>
    <t>Adyen NV</t>
  </si>
  <si>
    <t>Best-in-class scale + margin</t>
  </si>
  <si>
    <t>Block (Square)</t>
  </si>
  <si>
    <t>US</t>
  </si>
  <si>
    <t>Diversified beyond merchant</t>
  </si>
  <si>
    <t>Fiserv</t>
  </si>
  <si>
    <t>Mature large-cap processor</t>
  </si>
  <si>
    <t>Global Payments</t>
  </si>
  <si>
    <t>Mature, merchant + issuer</t>
  </si>
  <si>
    <t>STATS</t>
  </si>
  <si>
    <t>Mean</t>
  </si>
  <si>
    <t>Median</t>
  </si>
  <si>
    <t>Min</t>
  </si>
  <si>
    <t>Max</t>
  </si>
  <si>
    <t>25th %ile</t>
  </si>
  <si>
    <t>75th %ile</t>
  </si>
  <si>
    <t>INDIA PEERS ONLY</t>
  </si>
  <si>
    <t>IMPLIED MSWIPE VALUATION BY COMP MULTIPLES</t>
  </si>
  <si>
    <t>Mswipe FY25 revenue (₹ Cr)</t>
  </si>
  <si>
    <t>Mswipe FY26E revenue (₹ Cr)</t>
  </si>
  <si>
    <t>EV/Rev multiple range applied</t>
  </si>
  <si>
    <t>EV on FY25 (₹ Cr)</t>
  </si>
  <si>
    <t>EV on FY26E (₹ Cr)</t>
  </si>
  <si>
    <t>India peers median × 0.5 (asset-reset discount)</t>
  </si>
  <si>
    <t>India peers median × 0.6</t>
  </si>
  <si>
    <t>India peers median × 0.7</t>
  </si>
  <si>
    <t>India peers median × 0.85</t>
  </si>
  <si>
    <t>Indicative trading-comp range (FY25): ₹400–700 Cr</t>
  </si>
  <si>
    <t>Precedent Transactions — Payments M&amp;A</t>
  </si>
  <si>
    <t>Recent deals in India + comparable global mPOS / payments transactions.</t>
  </si>
  <si>
    <t>Year</t>
  </si>
  <si>
    <t>Acquirer</t>
  </si>
  <si>
    <t>Target</t>
  </si>
  <si>
    <t>Deal value ($M)</t>
  </si>
  <si>
    <t>Target revenue ($M)</t>
  </si>
  <si>
    <t>Target EBITDA ($M)</t>
  </si>
  <si>
    <t>Mosambee</t>
  </si>
  <si>
    <t>Strategic tuck-in for offline acquiring (illustrative)</t>
  </si>
  <si>
    <t>PhonePe</t>
  </si>
  <si>
    <t>OPGSP</t>
  </si>
  <si>
    <t>Offline merchant acquisition; control deal</t>
  </si>
  <si>
    <t>Innoviti</t>
  </si>
  <si>
    <t>PayMate</t>
  </si>
  <si>
    <t>B2B payments + offline POS combo</t>
  </si>
  <si>
    <t>PayU India</t>
  </si>
  <si>
    <t>BillDesk*</t>
  </si>
  <si>
    <t>Deal called off — antitrust</t>
  </si>
  <si>
    <t>Lightspeed</t>
  </si>
  <si>
    <t>Vend NZ</t>
  </si>
  <si>
    <t>Global</t>
  </si>
  <si>
    <t>SaaS + payments adjacency</t>
  </si>
  <si>
    <t>Worldline</t>
  </si>
  <si>
    <t>Bambora India</t>
  </si>
  <si>
    <t>Distressed sale of mPOS network</t>
  </si>
  <si>
    <t>Afterpay</t>
  </si>
  <si>
    <t>BNPL strategic; pre-rate-shock</t>
  </si>
  <si>
    <t>FIS</t>
  </si>
  <si>
    <t>Worldpay**</t>
  </si>
  <si>
    <t>Largest payments comp; FIS later divested</t>
  </si>
  <si>
    <t>PayU</t>
  </si>
  <si>
    <t>BillDesk (deal)</t>
  </si>
  <si>
    <t>Largest India fintech deal; later terminated</t>
  </si>
  <si>
    <t>Mastercard</t>
  </si>
  <si>
    <t>Finicity</t>
  </si>
  <si>
    <t>Account-aggregation tuck-in</t>
  </si>
  <si>
    <t>INDIA-ONLY TRANSACTION STATS</t>
  </si>
  <si>
    <t>IMPLIED MSWIPE VALUATION — TRANSACTION COMPS</t>
  </si>
  <si>
    <t>EV/Rev multiple applied</t>
  </si>
  <si>
    <t>Implied EV (₹ Cr)</t>
  </si>
  <si>
    <t>India median</t>
  </si>
  <si>
    <t>India mean</t>
  </si>
  <si>
    <t>India median + 25%</t>
  </si>
  <si>
    <t>* / ** Indicates deals that were terminated or modified</t>
  </si>
  <si>
    <t>Mswipe Valuation — Football Field</t>
  </si>
  <si>
    <t>Cross-methodology valuation range with recommended bid envelope.</t>
  </si>
  <si>
    <t>Methodology</t>
  </si>
  <si>
    <t>Approach</t>
  </si>
  <si>
    <t>Low (₹ Cr)</t>
  </si>
  <si>
    <t>High (₹ Cr)</t>
  </si>
  <si>
    <t>Range</t>
  </si>
  <si>
    <t>DCF — standalone (base)</t>
  </si>
  <si>
    <t>Cross-sheet DCF</t>
  </si>
  <si>
    <t>₹850–1,100 Cr</t>
  </si>
  <si>
    <t>DCF + 50% synergy share</t>
  </si>
  <si>
    <t>PV synergy × 50% to seller</t>
  </si>
  <si>
    <t>₹1,500–1,900 Cr</t>
  </si>
  <si>
    <t>Trading comps (India peers)</t>
  </si>
  <si>
    <t>0.5–0.85× peer EV/Rev</t>
  </si>
  <si>
    <t>₹1,100–1,800 Cr</t>
  </si>
  <si>
    <t>Transaction comps (India)</t>
  </si>
  <si>
    <t>Median to +25%</t>
  </si>
  <si>
    <t>₹1,400–2,100 Cr</t>
  </si>
  <si>
    <t>Last priced round (2017)</t>
  </si>
  <si>
    <t>$210M × INR82</t>
  </si>
  <si>
    <t>₹1,500–1,700 Cr</t>
  </si>
  <si>
    <t>Distressed / liquidation</t>
  </si>
  <si>
    <t>0.8× book + tech</t>
  </si>
  <si>
    <t>₹700–1,100 Cr</t>
  </si>
  <si>
    <t>RECOMMENDED OFFER ENVELOPE</t>
  </si>
  <si>
    <t>Initial bid (low end)</t>
  </si>
  <si>
    <t>₹1,800 Cr</t>
  </si>
  <si>
    <t>Walk-away (high end)</t>
  </si>
  <si>
    <t>₹2,400 Cr</t>
  </si>
  <si>
    <t>Base case (mid)</t>
  </si>
  <si>
    <t>₹2,100 Cr</t>
  </si>
  <si>
    <t>VALUATION DECISION FRAMEWORK</t>
  </si>
  <si>
    <t>1. Standalone DCF (₹850–1,100 Cr) reflects current distressed trajectory and growth uncertainty</t>
  </si>
  <si>
    <t>2. India transaction-comp median (~5–6× EV/Rev) supports ₹1,800–2,100 Cr at FY25 revenue</t>
  </si>
  <si>
    <t>3. 50% share of run-rate synergy NPV (~₹1,200 Cr) adds ~₹600 Cr premium above standalone DCF</t>
  </si>
  <si>
    <t>4. CCI clearance risk and integration risk argue for tighter (lower-end) bid at ₹1,800 Cr</t>
  </si>
  <si>
    <t>5. Strategic optionality (offline consolidation + Mcapital) justifies walking up to ₹2,400 Cr</t>
  </si>
  <si>
    <t>6. Final bid expected in ₹1,950–2,150 Cr range; cash-stock 50/50 to share execution risk</t>
  </si>
  <si>
    <t>Deal Structure — Sources &amp; Uses</t>
  </si>
  <si>
    <t>Indicative funding structure for Mswipe acquisition.</t>
  </si>
  <si>
    <t>SOURCES OF FUNDS</t>
  </si>
  <si>
    <t>Amount (₹ Cr)</t>
  </si>
  <si>
    <t>% of total</t>
  </si>
  <si>
    <t>Cost (%)</t>
  </si>
  <si>
    <t>USES OF FUNDS</t>
  </si>
  <si>
    <t>Cash on hand (IPO proceeds)</t>
  </si>
  <si>
    <t>Cash consideration to Mswipe shareholders</t>
  </si>
  <si>
    <t>New equity issuance to seller</t>
  </si>
  <si>
    <t>Stock consideration to Mswipe shareholders</t>
  </si>
  <si>
    <t>Term loan (5-yr, SOFR+250)</t>
  </si>
  <si>
    <t>Transaction fees (advisory, legal, regulatory)</t>
  </si>
  <si>
    <t>Financing fees &amp; expenses</t>
  </si>
  <si>
    <t>Total sources</t>
  </si>
  <si>
    <t>Retention pool (top 100 employees, 3-yr vest)</t>
  </si>
  <si>
    <t>Total uses</t>
  </si>
  <si>
    <t>Sources – Uses (must equal zero)</t>
  </si>
  <si>
    <t>DEAL MECHANICS</t>
  </si>
  <si>
    <t>Total transaction value (₹ Cr)</t>
  </si>
  <si>
    <t>Cash component (₹ Cr)</t>
  </si>
  <si>
    <t>Stock component (₹ Cr)</t>
  </si>
  <si>
    <t>Cash / Stock split (%)</t>
  </si>
  <si>
    <t>Pine Labs share price (at deal)</t>
  </si>
  <si>
    <t>New shares issued (mn)</t>
  </si>
  <si>
    <t>Pre-deal Pine Labs shares (mn)</t>
  </si>
  <si>
    <t>Pro-forma shares (mn)</t>
  </si>
  <si>
    <t>Dilution to existing shareholders</t>
  </si>
  <si>
    <t>Sensitivity Analysis</t>
  </si>
  <si>
    <t>Two-way tables — DCF EV sensitivity to WACC × TGR and operating drivers.</t>
  </si>
  <si>
    <t>DCF EV (₹ Cr) — WACC × Terminal Growth</t>
  </si>
  <si>
    <t>WACC →</t>
  </si>
  <si>
    <t>FY30 EBITDA (₹ Cr) — Take rate × Merchant growth</t>
  </si>
  <si>
    <t>Take rate (bps) →</t>
  </si>
  <si>
    <t>Highlighted cells = base case assumption.</t>
  </si>
  <si>
    <t>Sensitivity #2 holds lending, terminal sales, VAS revenue and fixed costs constant at base-case values.</t>
  </si>
  <si>
    <t xml:space="preserve">                     — TARGET DEEP-DIVE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</si>
</sst>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#,##0.0;\(#,##0.0\);\-"/>
    <numFmt numFmtId="167" formatCode="_(\₹* #,##0_);_(\₹* \(#,##0\);_(\₹* \-_);_(@_)"/>
    <numFmt numFmtId="168" formatCode="0&quot; bps&quot;"/>
    <numFmt numFmtId="169" formatCode="0.0\x"/>
  </numFmts>
  <fonts count="2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22"/>
      <color rgb="FFFFFFFF"/>
      <name val="Calibri"/>
      <charset val="1"/>
    </font>
    <font>
      <i/>
      <sz val="11"/>
      <color rgb="FF595959"/>
      <name val="Calibri"/>
      <charset val="1"/>
    </font>
    <font>
      <b/>
      <sz val="12"/>
      <color rgb="FF0B1F3D"/>
      <name val="Calibri"/>
      <charset val="1"/>
    </font>
    <font>
      <b/>
      <sz val="10"/>
      <color rgb="FF0B1F3D"/>
      <name val="Calibri"/>
      <charset val="1"/>
    </font>
    <font>
      <sz val="10"/>
      <color rgb="FF000000"/>
      <name val="Calibri"/>
      <charset val="1"/>
    </font>
    <font>
      <b/>
      <sz val="11"/>
      <color rgb="FF0B1F3D"/>
      <name val="Calibri"/>
      <charset val="1"/>
    </font>
    <font>
      <sz val="10"/>
      <color rgb="FF0000FF"/>
      <name val="Calibri"/>
      <charset val="1"/>
    </font>
    <font>
      <i/>
      <sz val="10"/>
      <color rgb="FF008000"/>
      <name val="Calibri"/>
      <charset val="1"/>
    </font>
    <font>
      <b/>
      <sz val="10"/>
      <color rgb="FF000000"/>
      <name val="Calibri"/>
      <charset val="1"/>
    </font>
    <font>
      <i/>
      <sz val="9"/>
      <color rgb="FF595959"/>
      <name val="Calibri"/>
      <charset val="1"/>
    </font>
    <font>
      <b/>
      <sz val="10"/>
      <color rgb="FFFF0000"/>
      <name val="Calibri"/>
      <charset val="1"/>
    </font>
    <font>
      <b/>
      <sz val="14"/>
      <color rgb="FFFFFFFF"/>
      <name val="Calibri"/>
      <charset val="1"/>
    </font>
    <font>
      <i/>
      <sz val="10"/>
      <color rgb="FF595959"/>
      <name val="Calibri"/>
      <charset val="1"/>
    </font>
    <font>
      <b/>
      <sz val="10"/>
      <color rgb="FFFFFFFF"/>
      <name val="Calibri"/>
      <charset val="1"/>
    </font>
    <font>
      <i/>
      <sz val="9"/>
      <color rgb="FF000000"/>
      <name val="Calibri"/>
      <charset val="1"/>
    </font>
    <font>
      <sz val="10"/>
      <color rgb="FF008000"/>
      <name val="Calibri"/>
      <charset val="1"/>
    </font>
    <font>
      <b/>
      <sz val="11"/>
      <color rgb="FF000000"/>
      <name val="Calibri"/>
      <charset val="1"/>
    </font>
    <font>
      <i/>
      <sz val="9"/>
      <color rgb="FFFF0000"/>
      <name val="Calibri"/>
      <charset val="1"/>
    </font>
    <font>
      <sz val="10"/>
      <name val="Arial"/>
      <family val="2"/>
    </font>
    <font>
      <b/>
      <sz val="10"/>
      <color rgb="FF008000"/>
      <name val="Calibri"/>
      <charset val="1"/>
    </font>
    <font>
      <b/>
      <sz val="9"/>
      <color rgb="FF0B1F3D"/>
      <name val="Calibri"/>
      <charset val="1"/>
    </font>
    <font>
      <b/>
      <sz val="10"/>
      <color rgb="FF0000FF"/>
      <name val="Calibri"/>
      <charset val="1"/>
    </font>
    <font>
      <b/>
      <i/>
      <sz val="10"/>
      <color rgb="FF595959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0B1F3D"/>
        <bgColor rgb="FF1F3864"/>
      </patternFill>
    </fill>
    <fill>
      <patternFill patternType="solid">
        <fgColor rgb="FFC9A227"/>
        <bgColor rgb="FFED7D31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E6E6"/>
      </patternFill>
    </fill>
    <fill>
      <patternFill patternType="solid">
        <fgColor rgb="FFFFE6E6"/>
        <bgColor rgb="FFFFF2CC"/>
      </patternFill>
    </fill>
    <fill>
      <patternFill patternType="solid">
        <fgColor rgb="FFF4E4A6"/>
        <bgColor rgb="FFFFF2CC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6" fillId="0" borderId="0" xfId="0" applyFont="1"/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1"/>
    </xf>
    <xf numFmtId="0" fontId="12" fillId="0" borderId="0" xfId="0" applyFont="1"/>
    <xf numFmtId="0" fontId="13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14" fillId="0" borderId="0" xfId="0" applyFont="1"/>
    <xf numFmtId="0" fontId="15" fillId="4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vertical="center"/>
    </xf>
    <xf numFmtId="164" fontId="8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indent="2"/>
    </xf>
    <xf numFmtId="165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 indent="1"/>
    </xf>
    <xf numFmtId="167" fontId="17" fillId="0" borderId="0" xfId="0" applyNumberFormat="1" applyFont="1" applyAlignment="1">
      <alignment horizontal="right" vertical="center"/>
    </xf>
    <xf numFmtId="168" fontId="17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 indent="1"/>
    </xf>
    <xf numFmtId="167" fontId="10" fillId="5" borderId="0" xfId="0" applyNumberFormat="1" applyFont="1" applyFill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 indent="1"/>
    </xf>
    <xf numFmtId="165" fontId="6" fillId="6" borderId="0" xfId="0" applyNumberFormat="1" applyFont="1" applyFill="1" applyAlignment="1">
      <alignment horizontal="right" vertical="center"/>
    </xf>
    <xf numFmtId="167" fontId="2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1"/>
    </xf>
    <xf numFmtId="166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10" fillId="0" borderId="0" xfId="0" applyNumberFormat="1" applyFont="1" applyAlignment="1">
      <alignment horizontal="right" vertical="center"/>
    </xf>
    <xf numFmtId="169" fontId="10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right" vertical="center"/>
    </xf>
    <xf numFmtId="0" fontId="15" fillId="4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67" fontId="23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2" fontId="6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 indent="1"/>
    </xf>
    <xf numFmtId="165" fontId="23" fillId="0" borderId="0" xfId="0" applyNumberFormat="1" applyFont="1" applyAlignment="1">
      <alignment horizontal="right" vertical="center"/>
    </xf>
    <xf numFmtId="167" fontId="6" fillId="7" borderId="0" xfId="0" applyNumberFormat="1" applyFont="1" applyFill="1" applyAlignment="1">
      <alignment horizontal="right" vertical="center"/>
    </xf>
    <xf numFmtId="168" fontId="2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E6"/>
      <rgbColor rgb="FF99CCFF"/>
      <rgbColor rgb="FFFF99CC"/>
      <rgbColor rgb="FFCC99FF"/>
      <rgbColor rgb="FFF4E4A6"/>
      <rgbColor rgb="FF4472C4"/>
      <rgbColor rgb="FF33CCCC"/>
      <rgbColor rgb="FF99CC00"/>
      <rgbColor rgb="FFFFCC00"/>
      <rgbColor rgb="FFC9A227"/>
      <rgbColor rgb="FFED7D31"/>
      <rgbColor rgb="FF595959"/>
      <rgbColor rgb="FF70AD47"/>
      <rgbColor rgb="FF1F3864"/>
      <rgbColor rgb="FF339966"/>
      <rgbColor rgb="FF0B1F3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69850</xdr:rowOff>
    </xdr:from>
    <xdr:to>
      <xdr:col>1</xdr:col>
      <xdr:colOff>774700</xdr:colOff>
      <xdr:row>5</xdr:row>
      <xdr:rowOff>146050</xdr:rowOff>
    </xdr:to>
    <xdr:pic>
      <xdr:nvPicPr>
        <xdr:cNvPr id="2" name="Picture 1" descr="Mswipe Technologies Pvt. Ltd. | Mumbai">
          <a:extLst>
            <a:ext uri="{FF2B5EF4-FFF2-40B4-BE49-F238E27FC236}">
              <a16:creationId xmlns:a16="http://schemas.microsoft.com/office/drawing/2014/main" id="{AD5479E9-2994-817F-29EB-BB0AF928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209550"/>
          <a:ext cx="75565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F3D"/>
  </sheetPr>
  <dimension ref="A1:H58"/>
  <sheetViews>
    <sheetView showGridLines="0" tabSelected="1" zoomScaleNormal="100" workbookViewId="0">
      <selection activeCell="M12" sqref="M12"/>
    </sheetView>
  </sheetViews>
  <sheetFormatPr defaultColWidth="8.6328125" defaultRowHeight="14.5" x14ac:dyDescent="0.35"/>
  <cols>
    <col min="1" max="1" width="2" customWidth="1"/>
    <col min="2" max="2" width="28" customWidth="1"/>
    <col min="3" max="4" width="26" customWidth="1"/>
    <col min="5" max="8" width="16" customWidth="1"/>
  </cols>
  <sheetData>
    <row r="1" spans="1:8" ht="7.5" customHeight="1" x14ac:dyDescent="0.35">
      <c r="A1" s="7"/>
      <c r="B1" s="7"/>
      <c r="C1" s="7"/>
      <c r="D1" s="7"/>
      <c r="E1" s="7"/>
      <c r="F1" s="7"/>
      <c r="G1" s="7"/>
      <c r="H1" s="7"/>
    </row>
    <row r="2" spans="1:8" ht="3.75" customHeight="1" x14ac:dyDescent="0.35">
      <c r="A2" s="8"/>
      <c r="B2" s="8"/>
      <c r="C2" s="8"/>
      <c r="D2" s="8"/>
      <c r="E2" s="8"/>
      <c r="F2" s="8"/>
      <c r="G2" s="8"/>
      <c r="H2" s="8"/>
    </row>
    <row r="4" spans="1:8" ht="19.5" customHeight="1" x14ac:dyDescent="0.35">
      <c r="B4" s="6" t="s">
        <v>387</v>
      </c>
      <c r="C4" s="6"/>
      <c r="D4" s="6"/>
      <c r="E4" s="6"/>
      <c r="F4" s="6"/>
      <c r="G4" s="6"/>
      <c r="H4" s="6"/>
    </row>
    <row r="5" spans="1:8" ht="19.5" customHeight="1" x14ac:dyDescent="0.35">
      <c r="B5" s="6"/>
      <c r="C5" s="6"/>
      <c r="D5" s="6"/>
      <c r="E5" s="6"/>
      <c r="F5" s="6"/>
      <c r="G5" s="6"/>
      <c r="H5" s="6"/>
    </row>
    <row r="6" spans="1:8" ht="31.5" customHeight="1" x14ac:dyDescent="0.35">
      <c r="B6" s="5" t="s">
        <v>0</v>
      </c>
      <c r="C6" s="5"/>
      <c r="D6" s="5"/>
      <c r="E6" s="5"/>
      <c r="F6" s="5"/>
      <c r="G6" s="5"/>
      <c r="H6" s="5"/>
    </row>
    <row r="7" spans="1:8" ht="15.75" customHeight="1" x14ac:dyDescent="0.35">
      <c r="B7" s="5"/>
      <c r="C7" s="5"/>
      <c r="D7" s="5"/>
      <c r="E7" s="5"/>
      <c r="F7" s="5"/>
      <c r="G7" s="5"/>
      <c r="H7" s="5"/>
    </row>
    <row r="8" spans="1:8" ht="15.75" customHeight="1" x14ac:dyDescent="0.35">
      <c r="B8" s="5"/>
      <c r="C8" s="5"/>
      <c r="D8" s="5"/>
      <c r="E8" s="5"/>
      <c r="F8" s="5"/>
      <c r="G8" s="5"/>
      <c r="H8" s="5"/>
    </row>
    <row r="10" spans="1:8" x14ac:dyDescent="0.35">
      <c r="B10" s="9" t="s">
        <v>1</v>
      </c>
    </row>
    <row r="13" spans="1:8" ht="15.5" x14ac:dyDescent="0.35">
      <c r="B13" s="10" t="s">
        <v>2</v>
      </c>
    </row>
    <row r="15" spans="1:8" ht="19.5" customHeight="1" x14ac:dyDescent="0.35">
      <c r="B15" s="11" t="s">
        <v>3</v>
      </c>
      <c r="C15" s="4" t="s">
        <v>4</v>
      </c>
      <c r="D15" s="4"/>
      <c r="E15" s="4"/>
      <c r="F15" s="4"/>
      <c r="G15" s="4"/>
      <c r="H15" s="4"/>
    </row>
    <row r="16" spans="1:8" ht="19.5" customHeight="1" x14ac:dyDescent="0.35">
      <c r="B16" s="11" t="s">
        <v>5</v>
      </c>
      <c r="C16" s="4" t="s">
        <v>6</v>
      </c>
      <c r="D16" s="4"/>
      <c r="E16" s="4"/>
      <c r="F16" s="4"/>
      <c r="G16" s="4"/>
      <c r="H16" s="4"/>
    </row>
    <row r="17" spans="2:8" ht="19.5" customHeight="1" x14ac:dyDescent="0.35">
      <c r="B17" s="11" t="s">
        <v>7</v>
      </c>
      <c r="C17" s="4" t="s">
        <v>8</v>
      </c>
      <c r="D17" s="4"/>
      <c r="E17" s="4"/>
      <c r="F17" s="4"/>
      <c r="G17" s="4"/>
      <c r="H17" s="4"/>
    </row>
    <row r="18" spans="2:8" ht="19.5" customHeight="1" x14ac:dyDescent="0.35">
      <c r="B18" s="11" t="s">
        <v>9</v>
      </c>
      <c r="C18" s="4" t="s">
        <v>10</v>
      </c>
      <c r="D18" s="4"/>
      <c r="E18" s="4"/>
      <c r="F18" s="4"/>
      <c r="G18" s="4"/>
      <c r="H18" s="4"/>
    </row>
    <row r="19" spans="2:8" ht="19.5" customHeight="1" x14ac:dyDescent="0.35">
      <c r="B19" s="11" t="s">
        <v>11</v>
      </c>
      <c r="C19" s="4" t="s">
        <v>12</v>
      </c>
      <c r="D19" s="4"/>
      <c r="E19" s="4"/>
      <c r="F19" s="4"/>
      <c r="G19" s="4"/>
      <c r="H19" s="4"/>
    </row>
    <row r="20" spans="2:8" ht="19.5" customHeight="1" x14ac:dyDescent="0.35">
      <c r="B20" s="11" t="s">
        <v>13</v>
      </c>
      <c r="C20" s="4" t="s">
        <v>14</v>
      </c>
      <c r="D20" s="4"/>
      <c r="E20" s="4"/>
      <c r="F20" s="4"/>
      <c r="G20" s="4"/>
      <c r="H20" s="4"/>
    </row>
    <row r="23" spans="2:8" x14ac:dyDescent="0.35">
      <c r="B23" s="12" t="s">
        <v>15</v>
      </c>
    </row>
    <row r="25" spans="2:8" x14ac:dyDescent="0.35">
      <c r="B25" s="13" t="s">
        <v>16</v>
      </c>
      <c r="D25" s="14" t="s">
        <v>17</v>
      </c>
    </row>
    <row r="26" spans="2:8" x14ac:dyDescent="0.35">
      <c r="B26" s="13" t="s">
        <v>18</v>
      </c>
      <c r="D26" s="15" t="s">
        <v>19</v>
      </c>
    </row>
    <row r="27" spans="2:8" x14ac:dyDescent="0.35">
      <c r="B27" s="13" t="s">
        <v>20</v>
      </c>
      <c r="D27" s="16" t="s">
        <v>21</v>
      </c>
    </row>
    <row r="30" spans="2:8" x14ac:dyDescent="0.35">
      <c r="B30" s="12" t="s">
        <v>22</v>
      </c>
    </row>
    <row r="32" spans="2:8" x14ac:dyDescent="0.35">
      <c r="B32" s="17" t="s">
        <v>23</v>
      </c>
      <c r="D32" s="15" t="s">
        <v>24</v>
      </c>
    </row>
    <row r="33" spans="2:8" x14ac:dyDescent="0.35">
      <c r="B33" s="17" t="s">
        <v>25</v>
      </c>
      <c r="D33" s="15" t="s">
        <v>26</v>
      </c>
    </row>
    <row r="34" spans="2:8" x14ac:dyDescent="0.35">
      <c r="B34" s="17" t="s">
        <v>27</v>
      </c>
      <c r="D34" s="15" t="s">
        <v>28</v>
      </c>
    </row>
    <row r="35" spans="2:8" x14ac:dyDescent="0.35">
      <c r="B35" s="17" t="s">
        <v>29</v>
      </c>
      <c r="D35" s="15" t="s">
        <v>30</v>
      </c>
    </row>
    <row r="36" spans="2:8" x14ac:dyDescent="0.35">
      <c r="B36" s="17" t="s">
        <v>31</v>
      </c>
      <c r="D36" s="15" t="s">
        <v>32</v>
      </c>
    </row>
    <row r="37" spans="2:8" x14ac:dyDescent="0.35">
      <c r="B37" s="17" t="s">
        <v>33</v>
      </c>
      <c r="D37" s="15" t="s">
        <v>34</v>
      </c>
    </row>
    <row r="38" spans="2:8" x14ac:dyDescent="0.35">
      <c r="B38" s="17" t="s">
        <v>35</v>
      </c>
      <c r="D38" s="15" t="s">
        <v>36</v>
      </c>
    </row>
    <row r="39" spans="2:8" x14ac:dyDescent="0.35">
      <c r="B39" s="17" t="s">
        <v>37</v>
      </c>
      <c r="D39" s="15" t="s">
        <v>38</v>
      </c>
    </row>
    <row r="40" spans="2:8" x14ac:dyDescent="0.35">
      <c r="B40" s="17" t="s">
        <v>39</v>
      </c>
      <c r="D40" s="15" t="s">
        <v>40</v>
      </c>
    </row>
    <row r="41" spans="2:8" x14ac:dyDescent="0.35">
      <c r="B41" s="17" t="s">
        <v>41</v>
      </c>
      <c r="D41" s="15" t="s">
        <v>42</v>
      </c>
    </row>
    <row r="42" spans="2:8" x14ac:dyDescent="0.35">
      <c r="B42" s="17" t="s">
        <v>43</v>
      </c>
      <c r="D42" s="15" t="s">
        <v>44</v>
      </c>
    </row>
    <row r="45" spans="2:8" x14ac:dyDescent="0.35">
      <c r="B45" s="12" t="s">
        <v>45</v>
      </c>
    </row>
    <row r="47" spans="2:8" x14ac:dyDescent="0.35">
      <c r="B47" s="3" t="s">
        <v>46</v>
      </c>
      <c r="C47" s="3"/>
      <c r="D47" s="3"/>
      <c r="E47" s="3"/>
      <c r="F47" s="3"/>
      <c r="G47" s="3"/>
      <c r="H47" s="3"/>
    </row>
    <row r="48" spans="2:8" x14ac:dyDescent="0.35">
      <c r="B48" s="3" t="s">
        <v>47</v>
      </c>
      <c r="C48" s="3"/>
      <c r="D48" s="3"/>
      <c r="E48" s="3"/>
      <c r="F48" s="3"/>
      <c r="G48" s="3"/>
      <c r="H48" s="3"/>
    </row>
    <row r="49" spans="2:8" x14ac:dyDescent="0.35">
      <c r="B49" s="3" t="s">
        <v>48</v>
      </c>
      <c r="C49" s="3"/>
      <c r="D49" s="3"/>
      <c r="E49" s="3"/>
      <c r="F49" s="3"/>
      <c r="G49" s="3"/>
      <c r="H49" s="3"/>
    </row>
    <row r="50" spans="2:8" x14ac:dyDescent="0.35">
      <c r="B50" s="3" t="s">
        <v>49</v>
      </c>
      <c r="C50" s="3"/>
      <c r="D50" s="3"/>
      <c r="E50" s="3"/>
      <c r="F50" s="3"/>
      <c r="G50" s="3"/>
      <c r="H50" s="3"/>
    </row>
    <row r="51" spans="2:8" x14ac:dyDescent="0.35">
      <c r="B51" s="3" t="s">
        <v>50</v>
      </c>
      <c r="C51" s="3"/>
      <c r="D51" s="3"/>
      <c r="E51" s="3"/>
      <c r="F51" s="3"/>
      <c r="G51" s="3"/>
      <c r="H51" s="3"/>
    </row>
    <row r="52" spans="2:8" x14ac:dyDescent="0.35">
      <c r="B52" s="3" t="s">
        <v>51</v>
      </c>
      <c r="C52" s="3"/>
      <c r="D52" s="3"/>
      <c r="E52" s="3"/>
      <c r="F52" s="3"/>
      <c r="G52" s="3"/>
      <c r="H52" s="3"/>
    </row>
    <row r="55" spans="2:8" x14ac:dyDescent="0.35">
      <c r="B55" s="18" t="s">
        <v>52</v>
      </c>
    </row>
    <row r="56" spans="2:8" ht="18" customHeight="1" x14ac:dyDescent="0.35">
      <c r="B56" s="2" t="s">
        <v>53</v>
      </c>
      <c r="C56" s="2"/>
      <c r="D56" s="2"/>
      <c r="E56" s="2"/>
      <c r="F56" s="2"/>
      <c r="G56" s="2"/>
      <c r="H56" s="2"/>
    </row>
    <row r="57" spans="2:8" x14ac:dyDescent="0.35">
      <c r="B57" s="2"/>
      <c r="C57" s="2"/>
      <c r="D57" s="2"/>
      <c r="E57" s="2"/>
      <c r="F57" s="2"/>
      <c r="G57" s="2"/>
      <c r="H57" s="2"/>
    </row>
    <row r="58" spans="2:8" x14ac:dyDescent="0.35">
      <c r="B58" s="2"/>
      <c r="C58" s="2"/>
      <c r="D58" s="2"/>
      <c r="E58" s="2"/>
      <c r="F58" s="2"/>
      <c r="G58" s="2"/>
      <c r="H58" s="2"/>
    </row>
  </sheetData>
  <mergeCells count="15">
    <mergeCell ref="B49:H49"/>
    <mergeCell ref="B50:H50"/>
    <mergeCell ref="B51:H51"/>
    <mergeCell ref="B52:H52"/>
    <mergeCell ref="B56:H58"/>
    <mergeCell ref="C18:H18"/>
    <mergeCell ref="C19:H19"/>
    <mergeCell ref="C20:H20"/>
    <mergeCell ref="B47:H47"/>
    <mergeCell ref="B48:H48"/>
    <mergeCell ref="B4:H5"/>
    <mergeCell ref="B6:H8"/>
    <mergeCell ref="C15:H15"/>
    <mergeCell ref="C16:H16"/>
    <mergeCell ref="C17:H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A1:L5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38" customWidth="1"/>
    <col min="2" max="2" width="2" customWidth="1"/>
    <col min="3" max="11" width="11" customWidth="1"/>
    <col min="12" max="12" width="18" customWidth="1"/>
  </cols>
  <sheetData>
    <row r="1" spans="1:12" ht="27.75" customHeight="1" x14ac:dyDescent="0.35">
      <c r="A1" s="19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55</v>
      </c>
    </row>
    <row r="4" spans="1:12" x14ac:dyDescent="0.35">
      <c r="C4" s="22" t="s">
        <v>56</v>
      </c>
      <c r="D4" s="22" t="s">
        <v>57</v>
      </c>
      <c r="E4" s="22" t="s">
        <v>58</v>
      </c>
      <c r="F4" s="22" t="s">
        <v>59</v>
      </c>
      <c r="G4" s="22" t="s">
        <v>60</v>
      </c>
      <c r="H4" s="22" t="s">
        <v>61</v>
      </c>
      <c r="I4" s="22" t="s">
        <v>62</v>
      </c>
      <c r="J4" s="22" t="s">
        <v>63</v>
      </c>
      <c r="K4" s="22" t="s">
        <v>64</v>
      </c>
      <c r="L4" s="23" t="s">
        <v>65</v>
      </c>
    </row>
    <row r="6" spans="1:12" ht="21.75" customHeight="1" x14ac:dyDescent="0.35">
      <c r="A6" s="24" t="s">
        <v>66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2" ht="36" x14ac:dyDescent="0.35">
      <c r="A8" s="13" t="s">
        <v>67</v>
      </c>
      <c r="C8" s="26">
        <v>550</v>
      </c>
      <c r="D8" s="26">
        <v>620</v>
      </c>
      <c r="E8" s="26">
        <v>660</v>
      </c>
      <c r="F8" s="26">
        <v>700</v>
      </c>
      <c r="G8" s="27">
        <f>F8*(1+G9)</f>
        <v>784.00000000000011</v>
      </c>
      <c r="H8" s="27">
        <f>G8*(1+H9)</f>
        <v>862.4000000000002</v>
      </c>
      <c r="I8" s="27">
        <f>H8*(1+I9)</f>
        <v>931.39200000000028</v>
      </c>
      <c r="J8" s="27">
        <f>I8*(1+J9)</f>
        <v>996.58944000000031</v>
      </c>
      <c r="K8" s="27">
        <f>J8*(1+K9)</f>
        <v>1046.4189120000003</v>
      </c>
      <c r="L8" s="28" t="s">
        <v>68</v>
      </c>
    </row>
    <row r="9" spans="1:12" x14ac:dyDescent="0.35">
      <c r="A9" s="29" t="s">
        <v>69</v>
      </c>
      <c r="G9" s="30">
        <v>0.12</v>
      </c>
      <c r="H9" s="30">
        <v>0.1</v>
      </c>
      <c r="I9" s="30">
        <v>0.08</v>
      </c>
      <c r="J9" s="30">
        <v>7.0000000000000007E-2</v>
      </c>
      <c r="K9" s="30">
        <v>0.05</v>
      </c>
    </row>
    <row r="10" spans="1:12" x14ac:dyDescent="0.35">
      <c r="A10" s="17" t="s">
        <v>70</v>
      </c>
      <c r="C10" s="27">
        <f>C8</f>
        <v>550</v>
      </c>
      <c r="D10" s="27">
        <f t="shared" ref="D10:K10" si="0">AVERAGE(C8,D8)</f>
        <v>585</v>
      </c>
      <c r="E10" s="27">
        <f t="shared" si="0"/>
        <v>640</v>
      </c>
      <c r="F10" s="27">
        <f t="shared" si="0"/>
        <v>680</v>
      </c>
      <c r="G10" s="27">
        <f t="shared" si="0"/>
        <v>742</v>
      </c>
      <c r="H10" s="27">
        <f t="shared" si="0"/>
        <v>823.20000000000016</v>
      </c>
      <c r="I10" s="27">
        <f t="shared" si="0"/>
        <v>896.89600000000019</v>
      </c>
      <c r="J10" s="27">
        <f t="shared" si="0"/>
        <v>963.99072000000024</v>
      </c>
      <c r="K10" s="27">
        <f t="shared" si="0"/>
        <v>1021.5041760000004</v>
      </c>
    </row>
    <row r="12" spans="1:12" x14ac:dyDescent="0.35">
      <c r="A12" s="13" t="s">
        <v>71</v>
      </c>
      <c r="C12" s="31">
        <v>1.05</v>
      </c>
      <c r="D12" s="31">
        <v>1.1000000000000001</v>
      </c>
      <c r="E12" s="31">
        <v>1.1499999999999999</v>
      </c>
      <c r="F12" s="31">
        <v>1.18</v>
      </c>
      <c r="G12" s="31">
        <v>1.2</v>
      </c>
      <c r="H12" s="31">
        <v>1.22</v>
      </c>
      <c r="I12" s="31">
        <v>1.24</v>
      </c>
      <c r="J12" s="31">
        <v>1.26</v>
      </c>
      <c r="K12" s="31">
        <v>1.27</v>
      </c>
    </row>
    <row r="13" spans="1:12" x14ac:dyDescent="0.35">
      <c r="A13" s="17" t="s">
        <v>72</v>
      </c>
      <c r="C13" s="27">
        <f t="shared" ref="C13:K13" si="1">C10*C12</f>
        <v>577.5</v>
      </c>
      <c r="D13" s="27">
        <f t="shared" si="1"/>
        <v>643.5</v>
      </c>
      <c r="E13" s="27">
        <f t="shared" si="1"/>
        <v>736</v>
      </c>
      <c r="F13" s="27">
        <f t="shared" si="1"/>
        <v>802.4</v>
      </c>
      <c r="G13" s="27">
        <f t="shared" si="1"/>
        <v>890.4</v>
      </c>
      <c r="H13" s="27">
        <f t="shared" si="1"/>
        <v>1004.3040000000002</v>
      </c>
      <c r="I13" s="27">
        <f t="shared" si="1"/>
        <v>1112.1510400000002</v>
      </c>
      <c r="J13" s="27">
        <f t="shared" si="1"/>
        <v>1214.6283072000003</v>
      </c>
      <c r="K13" s="27">
        <f t="shared" si="1"/>
        <v>1297.3103035200004</v>
      </c>
    </row>
    <row r="15" spans="1:12" ht="21.75" customHeight="1" x14ac:dyDescent="0.35">
      <c r="A15" s="24" t="s">
        <v>73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7" spans="1:12" ht="36" x14ac:dyDescent="0.35">
      <c r="A17" s="13" t="s">
        <v>74</v>
      </c>
      <c r="C17" s="26">
        <v>38</v>
      </c>
      <c r="D17" s="26">
        <v>45</v>
      </c>
      <c r="E17" s="26">
        <v>50</v>
      </c>
      <c r="F17" s="26">
        <v>55</v>
      </c>
      <c r="G17" s="26">
        <v>60</v>
      </c>
      <c r="H17" s="26">
        <v>65</v>
      </c>
      <c r="I17" s="26">
        <v>70</v>
      </c>
      <c r="J17" s="26">
        <v>75</v>
      </c>
      <c r="K17" s="26">
        <v>80</v>
      </c>
      <c r="L17" s="28" t="s">
        <v>75</v>
      </c>
    </row>
    <row r="18" spans="1:12" x14ac:dyDescent="0.35">
      <c r="A18" s="17" t="s">
        <v>76</v>
      </c>
      <c r="C18" s="32">
        <f t="shared" ref="C18:K18" si="2">C13*C17*12/10</f>
        <v>26334</v>
      </c>
      <c r="D18" s="32">
        <f t="shared" si="2"/>
        <v>34749</v>
      </c>
      <c r="E18" s="32">
        <f t="shared" si="2"/>
        <v>44160</v>
      </c>
      <c r="F18" s="32">
        <f t="shared" si="2"/>
        <v>52958.400000000001</v>
      </c>
      <c r="G18" s="32">
        <f t="shared" si="2"/>
        <v>64108.800000000003</v>
      </c>
      <c r="H18" s="32">
        <f t="shared" si="2"/>
        <v>78335.712000000029</v>
      </c>
      <c r="I18" s="32">
        <f t="shared" si="2"/>
        <v>93420.687360000011</v>
      </c>
      <c r="J18" s="32">
        <f t="shared" si="2"/>
        <v>109316.54764800002</v>
      </c>
      <c r="K18" s="32">
        <f t="shared" si="2"/>
        <v>124541.78913792004</v>
      </c>
    </row>
    <row r="20" spans="1:12" ht="36" x14ac:dyDescent="0.35">
      <c r="A20" s="13" t="s">
        <v>77</v>
      </c>
      <c r="C20" s="33">
        <v>45</v>
      </c>
      <c r="D20" s="33">
        <v>42</v>
      </c>
      <c r="E20" s="33">
        <v>40</v>
      </c>
      <c r="F20" s="33">
        <v>38</v>
      </c>
      <c r="G20" s="33">
        <v>38</v>
      </c>
      <c r="H20" s="33">
        <v>37</v>
      </c>
      <c r="I20" s="33">
        <v>36</v>
      </c>
      <c r="J20" s="33">
        <v>35</v>
      </c>
      <c r="K20" s="33">
        <v>35</v>
      </c>
      <c r="L20" s="28" t="s">
        <v>78</v>
      </c>
    </row>
    <row r="22" spans="1:12" ht="21.75" customHeight="1" x14ac:dyDescent="0.35">
      <c r="A22" s="24" t="s">
        <v>79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4" spans="1:12" x14ac:dyDescent="0.35">
      <c r="A24" s="13" t="s">
        <v>80</v>
      </c>
      <c r="C24" s="30">
        <v>0.02</v>
      </c>
      <c r="D24" s="30">
        <v>0.03</v>
      </c>
      <c r="E24" s="30">
        <v>0.04</v>
      </c>
      <c r="F24" s="30">
        <v>0.05</v>
      </c>
      <c r="G24" s="30">
        <v>0.06</v>
      </c>
      <c r="H24" s="30">
        <v>7.0000000000000007E-2</v>
      </c>
      <c r="I24" s="30">
        <v>0.08</v>
      </c>
      <c r="J24" s="30">
        <v>0.09</v>
      </c>
      <c r="K24" s="30">
        <v>0.1</v>
      </c>
    </row>
    <row r="25" spans="1:12" x14ac:dyDescent="0.35">
      <c r="A25" s="13" t="s">
        <v>81</v>
      </c>
      <c r="C25" s="26">
        <v>80</v>
      </c>
      <c r="D25" s="26">
        <v>90</v>
      </c>
      <c r="E25" s="26">
        <v>100</v>
      </c>
      <c r="F25" s="26">
        <v>110</v>
      </c>
      <c r="G25" s="26">
        <v>120</v>
      </c>
      <c r="H25" s="26">
        <v>130</v>
      </c>
      <c r="I25" s="26">
        <v>140</v>
      </c>
      <c r="J25" s="26">
        <v>150</v>
      </c>
      <c r="K25" s="26">
        <v>160</v>
      </c>
    </row>
    <row r="26" spans="1:12" x14ac:dyDescent="0.35">
      <c r="A26" s="17" t="s">
        <v>82</v>
      </c>
      <c r="C26" s="32">
        <f t="shared" ref="C26:K26" si="3">C10*C24*C25/10</f>
        <v>88</v>
      </c>
      <c r="D26" s="32">
        <f t="shared" si="3"/>
        <v>157.94999999999999</v>
      </c>
      <c r="E26" s="32">
        <f t="shared" si="3"/>
        <v>256</v>
      </c>
      <c r="F26" s="32">
        <f t="shared" si="3"/>
        <v>374</v>
      </c>
      <c r="G26" s="32">
        <f t="shared" si="3"/>
        <v>534.24</v>
      </c>
      <c r="H26" s="32">
        <f t="shared" si="3"/>
        <v>749.11200000000019</v>
      </c>
      <c r="I26" s="32">
        <f t="shared" si="3"/>
        <v>1004.5235200000003</v>
      </c>
      <c r="J26" s="32">
        <f t="shared" si="3"/>
        <v>1301.3874720000003</v>
      </c>
      <c r="K26" s="32">
        <f t="shared" si="3"/>
        <v>1634.4066816000006</v>
      </c>
    </row>
    <row r="27" spans="1:12" x14ac:dyDescent="0.35">
      <c r="A27" s="13" t="s">
        <v>83</v>
      </c>
      <c r="C27" s="30">
        <v>0.08</v>
      </c>
      <c r="D27" s="30">
        <v>0.08</v>
      </c>
      <c r="E27" s="30">
        <v>0.09</v>
      </c>
      <c r="F27" s="30">
        <v>0.09</v>
      </c>
      <c r="G27" s="30">
        <v>0.1</v>
      </c>
      <c r="H27" s="30">
        <v>0.1</v>
      </c>
      <c r="I27" s="30">
        <v>0.1</v>
      </c>
      <c r="J27" s="30">
        <v>0.1</v>
      </c>
      <c r="K27" s="30">
        <v>0.1</v>
      </c>
    </row>
    <row r="29" spans="1:12" ht="21.75" customHeight="1" x14ac:dyDescent="0.35">
      <c r="A29" s="24" t="s">
        <v>84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1" spans="1:12" x14ac:dyDescent="0.35">
      <c r="A31" s="13" t="s">
        <v>85</v>
      </c>
      <c r="C31" s="26">
        <v>25</v>
      </c>
      <c r="D31" s="26">
        <v>35</v>
      </c>
      <c r="E31" s="26">
        <v>45</v>
      </c>
      <c r="F31" s="26">
        <v>50</v>
      </c>
      <c r="G31" s="26">
        <v>55</v>
      </c>
      <c r="H31" s="26">
        <v>60</v>
      </c>
      <c r="I31" s="26">
        <v>65</v>
      </c>
      <c r="J31" s="26">
        <v>70</v>
      </c>
      <c r="K31" s="26">
        <v>75</v>
      </c>
    </row>
    <row r="32" spans="1:12" x14ac:dyDescent="0.35">
      <c r="A32" s="13" t="s">
        <v>86</v>
      </c>
      <c r="C32" s="31">
        <v>9</v>
      </c>
      <c r="D32" s="31">
        <v>9</v>
      </c>
      <c r="E32" s="31">
        <v>9.5</v>
      </c>
      <c r="F32" s="31">
        <v>10</v>
      </c>
      <c r="G32" s="31">
        <v>10</v>
      </c>
      <c r="H32" s="31">
        <v>10</v>
      </c>
      <c r="I32" s="31">
        <v>10.5</v>
      </c>
      <c r="J32" s="31">
        <v>11</v>
      </c>
      <c r="K32" s="31">
        <v>11</v>
      </c>
    </row>
    <row r="33" spans="1:12" x14ac:dyDescent="0.35">
      <c r="A33" s="13" t="s">
        <v>87</v>
      </c>
      <c r="C33" s="26">
        <v>250</v>
      </c>
      <c r="D33" s="26">
        <v>350</v>
      </c>
      <c r="E33" s="26">
        <v>450</v>
      </c>
      <c r="F33" s="26">
        <v>600</v>
      </c>
      <c r="G33" s="26">
        <v>700</v>
      </c>
      <c r="H33" s="26">
        <v>800</v>
      </c>
      <c r="I33" s="26">
        <v>900</v>
      </c>
      <c r="J33" s="26">
        <v>1000</v>
      </c>
      <c r="K33" s="26">
        <v>1100</v>
      </c>
    </row>
    <row r="35" spans="1:12" ht="21.75" customHeight="1" x14ac:dyDescent="0.35">
      <c r="A35" s="24" t="s">
        <v>88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7" spans="1:12" ht="36" x14ac:dyDescent="0.35">
      <c r="A37" s="13" t="s">
        <v>89</v>
      </c>
      <c r="C37" s="30">
        <v>0.35</v>
      </c>
      <c r="D37" s="30">
        <v>0.34</v>
      </c>
      <c r="E37" s="30">
        <v>0.33</v>
      </c>
      <c r="F37" s="30">
        <v>0.32</v>
      </c>
      <c r="G37" s="30">
        <v>0.3</v>
      </c>
      <c r="H37" s="30">
        <v>0.28000000000000003</v>
      </c>
      <c r="I37" s="30">
        <v>0.27</v>
      </c>
      <c r="J37" s="30">
        <v>0.26</v>
      </c>
      <c r="K37" s="30">
        <v>0.25</v>
      </c>
      <c r="L37" s="28" t="s">
        <v>90</v>
      </c>
    </row>
    <row r="38" spans="1:12" x14ac:dyDescent="0.35">
      <c r="A38" s="13" t="s">
        <v>91</v>
      </c>
      <c r="C38" s="30">
        <v>0.78</v>
      </c>
      <c r="D38" s="30">
        <v>0.78</v>
      </c>
      <c r="E38" s="30">
        <v>0.78</v>
      </c>
      <c r="F38" s="30">
        <v>0.78</v>
      </c>
      <c r="G38" s="30">
        <v>0.78</v>
      </c>
      <c r="H38" s="30">
        <v>0.78</v>
      </c>
      <c r="I38" s="30">
        <v>0.78</v>
      </c>
      <c r="J38" s="30">
        <v>0.78</v>
      </c>
      <c r="K38" s="30">
        <v>0.78</v>
      </c>
    </row>
    <row r="39" spans="1:12" x14ac:dyDescent="0.35">
      <c r="A39" s="13" t="s">
        <v>92</v>
      </c>
      <c r="C39" s="34">
        <v>85</v>
      </c>
      <c r="D39" s="34">
        <v>100</v>
      </c>
      <c r="E39" s="34">
        <v>115</v>
      </c>
      <c r="F39" s="34">
        <v>130</v>
      </c>
      <c r="G39" s="34">
        <v>150</v>
      </c>
      <c r="H39" s="34">
        <v>175</v>
      </c>
      <c r="I39" s="34">
        <v>200</v>
      </c>
      <c r="J39" s="34">
        <v>225</v>
      </c>
      <c r="K39" s="34">
        <v>250</v>
      </c>
    </row>
    <row r="40" spans="1:12" x14ac:dyDescent="0.35">
      <c r="A40" s="13" t="s">
        <v>93</v>
      </c>
      <c r="C40" s="34">
        <v>45</v>
      </c>
      <c r="D40" s="34">
        <v>55</v>
      </c>
      <c r="E40" s="34">
        <v>70</v>
      </c>
      <c r="F40" s="34">
        <v>80</v>
      </c>
      <c r="G40" s="34">
        <v>92</v>
      </c>
      <c r="H40" s="34">
        <v>108</v>
      </c>
      <c r="I40" s="34">
        <v>128</v>
      </c>
      <c r="J40" s="34">
        <v>150</v>
      </c>
      <c r="K40" s="34">
        <v>175</v>
      </c>
    </row>
    <row r="41" spans="1:12" x14ac:dyDescent="0.35">
      <c r="A41" s="13" t="s">
        <v>94</v>
      </c>
      <c r="C41" s="30">
        <v>0.1</v>
      </c>
      <c r="D41" s="30">
        <v>0.09</v>
      </c>
      <c r="E41" s="30">
        <v>0.08</v>
      </c>
      <c r="F41" s="30">
        <v>0.08</v>
      </c>
      <c r="G41" s="30">
        <v>7.0000000000000007E-2</v>
      </c>
      <c r="H41" s="30">
        <v>7.0000000000000007E-2</v>
      </c>
      <c r="I41" s="30">
        <v>7.0000000000000007E-2</v>
      </c>
      <c r="J41" s="30">
        <v>0.06</v>
      </c>
      <c r="K41" s="30">
        <v>0.06</v>
      </c>
    </row>
    <row r="42" spans="1:12" x14ac:dyDescent="0.35">
      <c r="A42" s="13" t="s">
        <v>95</v>
      </c>
      <c r="C42" s="30">
        <v>0.12</v>
      </c>
      <c r="D42" s="30">
        <v>0.1</v>
      </c>
      <c r="E42" s="30">
        <v>0.08</v>
      </c>
      <c r="F42" s="30">
        <v>7.0000000000000007E-2</v>
      </c>
      <c r="G42" s="30">
        <v>0.06</v>
      </c>
      <c r="H42" s="30">
        <v>0.06</v>
      </c>
      <c r="I42" s="30">
        <v>0.05</v>
      </c>
      <c r="J42" s="30">
        <v>0.05</v>
      </c>
      <c r="K42" s="30">
        <v>0.05</v>
      </c>
    </row>
    <row r="43" spans="1:12" x14ac:dyDescent="0.35">
      <c r="A43" s="13" t="s">
        <v>96</v>
      </c>
      <c r="C43" s="30">
        <v>0.1</v>
      </c>
      <c r="D43" s="30">
        <v>0.1</v>
      </c>
      <c r="E43" s="30">
        <v>0.1</v>
      </c>
      <c r="F43" s="30">
        <v>0.1</v>
      </c>
      <c r="G43" s="30">
        <v>0.1</v>
      </c>
      <c r="H43" s="30">
        <v>0.1</v>
      </c>
      <c r="I43" s="30">
        <v>0.1</v>
      </c>
      <c r="J43" s="30">
        <v>0.1</v>
      </c>
      <c r="K43" s="30">
        <v>0.1</v>
      </c>
    </row>
    <row r="44" spans="1:12" x14ac:dyDescent="0.35">
      <c r="A44" s="13" t="s">
        <v>97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0.05</v>
      </c>
      <c r="I44" s="30">
        <v>0.15</v>
      </c>
      <c r="J44" s="30">
        <v>0.22</v>
      </c>
      <c r="K44" s="30">
        <v>0.25</v>
      </c>
    </row>
    <row r="46" spans="1:12" ht="21.75" customHeight="1" x14ac:dyDescent="0.35">
      <c r="A46" s="24" t="s">
        <v>98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8" spans="1:12" ht="24" x14ac:dyDescent="0.35">
      <c r="A48" s="13" t="s">
        <v>99</v>
      </c>
      <c r="C48" s="30">
        <v>0.13</v>
      </c>
      <c r="L48" s="28" t="s">
        <v>100</v>
      </c>
    </row>
    <row r="49" spans="1:12" ht="24" x14ac:dyDescent="0.35">
      <c r="A49" s="13" t="s">
        <v>101</v>
      </c>
      <c r="C49" s="30">
        <v>0.04</v>
      </c>
      <c r="L49" s="28" t="s">
        <v>102</v>
      </c>
    </row>
    <row r="50" spans="1:12" ht="24" x14ac:dyDescent="0.35">
      <c r="A50" s="13" t="s">
        <v>103</v>
      </c>
      <c r="C50" s="35">
        <v>12</v>
      </c>
      <c r="L50" s="28" t="s">
        <v>104</v>
      </c>
    </row>
    <row r="51" spans="1:12" x14ac:dyDescent="0.35">
      <c r="A51" s="13" t="s">
        <v>105</v>
      </c>
      <c r="C51" s="26">
        <v>5</v>
      </c>
      <c r="L51" s="28" t="s">
        <v>106</v>
      </c>
    </row>
    <row r="52" spans="1:12" ht="24" x14ac:dyDescent="0.35">
      <c r="A52" s="13" t="s">
        <v>107</v>
      </c>
      <c r="C52" s="30">
        <v>0.1</v>
      </c>
      <c r="L52" s="28" t="s">
        <v>108</v>
      </c>
    </row>
    <row r="53" spans="1:12" ht="24" x14ac:dyDescent="0.35">
      <c r="A53" s="13" t="s">
        <v>109</v>
      </c>
      <c r="C53" s="30">
        <v>0.25</v>
      </c>
      <c r="L53" s="28" t="s">
        <v>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L4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8" sqref="I8"/>
    </sheetView>
  </sheetViews>
  <sheetFormatPr defaultColWidth="8.6328125" defaultRowHeight="14.5" x14ac:dyDescent="0.35"/>
  <cols>
    <col min="1" max="1" width="38" customWidth="1"/>
    <col min="2" max="2" width="2" customWidth="1"/>
    <col min="3" max="11" width="11" customWidth="1"/>
  </cols>
  <sheetData>
    <row r="1" spans="1:12" ht="27.75" customHeight="1" x14ac:dyDescent="0.35">
      <c r="A1" s="19" t="s">
        <v>111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112</v>
      </c>
    </row>
    <row r="4" spans="1:12" x14ac:dyDescent="0.35">
      <c r="C4" s="22" t="s">
        <v>56</v>
      </c>
      <c r="D4" s="22" t="s">
        <v>57</v>
      </c>
      <c r="E4" s="22" t="s">
        <v>58</v>
      </c>
      <c r="F4" s="22" t="s">
        <v>59</v>
      </c>
      <c r="G4" s="22" t="s">
        <v>60</v>
      </c>
      <c r="H4" s="22" t="s">
        <v>61</v>
      </c>
      <c r="I4" s="22" t="s">
        <v>62</v>
      </c>
      <c r="J4" s="22" t="s">
        <v>63</v>
      </c>
      <c r="K4" s="22" t="s">
        <v>64</v>
      </c>
    </row>
    <row r="6" spans="1:12" ht="21.75" customHeight="1" x14ac:dyDescent="0.35">
      <c r="A6" s="24" t="s">
        <v>113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2" x14ac:dyDescent="0.35">
      <c r="A8" s="36" t="s">
        <v>114</v>
      </c>
      <c r="C8" s="37">
        <f>'2. Operating Assumptions'!C18</f>
        <v>26334</v>
      </c>
      <c r="D8" s="37">
        <f>'2. Operating Assumptions'!D18</f>
        <v>34749</v>
      </c>
      <c r="E8" s="37">
        <f>'2. Operating Assumptions'!E18</f>
        <v>44160</v>
      </c>
      <c r="F8" s="37">
        <f>'2. Operating Assumptions'!F18</f>
        <v>52958.400000000001</v>
      </c>
      <c r="G8" s="37">
        <f>'2. Operating Assumptions'!G18</f>
        <v>64108.800000000003</v>
      </c>
      <c r="H8" s="37">
        <f>'2. Operating Assumptions'!H18</f>
        <v>78335.712000000029</v>
      </c>
      <c r="I8" s="37">
        <f>'2. Operating Assumptions'!I18</f>
        <v>93420.687360000011</v>
      </c>
      <c r="J8" s="37">
        <f>'2. Operating Assumptions'!J18</f>
        <v>109316.54764800002</v>
      </c>
      <c r="K8" s="37">
        <f>'2. Operating Assumptions'!K18</f>
        <v>124541.78913792004</v>
      </c>
    </row>
    <row r="9" spans="1:12" x14ac:dyDescent="0.35">
      <c r="A9" s="36" t="s">
        <v>115</v>
      </c>
      <c r="C9" s="38">
        <f>'2. Operating Assumptions'!C20</f>
        <v>45</v>
      </c>
      <c r="D9" s="38">
        <f>'2. Operating Assumptions'!D20</f>
        <v>42</v>
      </c>
      <c r="E9" s="38">
        <f>'2. Operating Assumptions'!E20</f>
        <v>40</v>
      </c>
      <c r="F9" s="38">
        <f>'2. Operating Assumptions'!F20</f>
        <v>38</v>
      </c>
      <c r="G9" s="38">
        <f>'2. Operating Assumptions'!G20</f>
        <v>38</v>
      </c>
      <c r="H9" s="38">
        <f>'2. Operating Assumptions'!H20</f>
        <v>37</v>
      </c>
      <c r="I9" s="38">
        <f>'2. Operating Assumptions'!I20</f>
        <v>36</v>
      </c>
      <c r="J9" s="38">
        <f>'2. Operating Assumptions'!J20</f>
        <v>35</v>
      </c>
      <c r="K9" s="38">
        <f>'2. Operating Assumptions'!K20</f>
        <v>35</v>
      </c>
    </row>
    <row r="10" spans="1:12" x14ac:dyDescent="0.35">
      <c r="A10" s="17" t="s">
        <v>116</v>
      </c>
      <c r="C10" s="39">
        <f t="shared" ref="C10:K10" si="0">C8*C9/10000</f>
        <v>118.503</v>
      </c>
      <c r="D10" s="39">
        <f t="shared" si="0"/>
        <v>145.94579999999999</v>
      </c>
      <c r="E10" s="39">
        <f t="shared" si="0"/>
        <v>176.64</v>
      </c>
      <c r="F10" s="39">
        <f t="shared" si="0"/>
        <v>201.24191999999999</v>
      </c>
      <c r="G10" s="39">
        <f t="shared" si="0"/>
        <v>243.61344</v>
      </c>
      <c r="H10" s="39">
        <f t="shared" si="0"/>
        <v>289.84213440000008</v>
      </c>
      <c r="I10" s="39">
        <f t="shared" si="0"/>
        <v>336.314474496</v>
      </c>
      <c r="J10" s="39">
        <f t="shared" si="0"/>
        <v>382.60791676800011</v>
      </c>
      <c r="K10" s="39">
        <f t="shared" si="0"/>
        <v>435.89626198272015</v>
      </c>
    </row>
    <row r="12" spans="1:12" ht="21.75" customHeight="1" x14ac:dyDescent="0.35">
      <c r="A12" s="24" t="s">
        <v>117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4" spans="1:12" x14ac:dyDescent="0.35">
      <c r="A14" s="36" t="s">
        <v>118</v>
      </c>
      <c r="C14" s="37">
        <f>'2. Operating Assumptions'!C26</f>
        <v>88</v>
      </c>
      <c r="D14" s="37">
        <f>'2. Operating Assumptions'!D26</f>
        <v>157.94999999999999</v>
      </c>
      <c r="E14" s="37">
        <f>'2. Operating Assumptions'!E26</f>
        <v>256</v>
      </c>
      <c r="F14" s="37">
        <f>'2. Operating Assumptions'!F26</f>
        <v>374</v>
      </c>
      <c r="G14" s="37">
        <f>'2. Operating Assumptions'!G26</f>
        <v>534.24</v>
      </c>
      <c r="H14" s="37">
        <f>'2. Operating Assumptions'!H26</f>
        <v>749.11200000000019</v>
      </c>
      <c r="I14" s="37">
        <f>'2. Operating Assumptions'!I26</f>
        <v>1004.5235200000003</v>
      </c>
      <c r="J14" s="37">
        <f>'2. Operating Assumptions'!J26</f>
        <v>1301.3874720000003</v>
      </c>
      <c r="K14" s="37">
        <f>'2. Operating Assumptions'!K26</f>
        <v>1634.4066816000006</v>
      </c>
    </row>
    <row r="15" spans="1:12" x14ac:dyDescent="0.35">
      <c r="A15" s="36" t="s">
        <v>119</v>
      </c>
      <c r="C15" s="40">
        <f>'2. Operating Assumptions'!C27</f>
        <v>0.08</v>
      </c>
      <c r="D15" s="40">
        <f>'2. Operating Assumptions'!D27</f>
        <v>0.08</v>
      </c>
      <c r="E15" s="40">
        <f>'2. Operating Assumptions'!E27</f>
        <v>0.09</v>
      </c>
      <c r="F15" s="40">
        <f>'2. Operating Assumptions'!F27</f>
        <v>0.09</v>
      </c>
      <c r="G15" s="40">
        <f>'2. Operating Assumptions'!G27</f>
        <v>0.1</v>
      </c>
      <c r="H15" s="40">
        <f>'2. Operating Assumptions'!H27</f>
        <v>0.1</v>
      </c>
      <c r="I15" s="40">
        <f>'2. Operating Assumptions'!I27</f>
        <v>0.1</v>
      </c>
      <c r="J15" s="40">
        <f>'2. Operating Assumptions'!J27</f>
        <v>0.1</v>
      </c>
      <c r="K15" s="40">
        <f>'2. Operating Assumptions'!K27</f>
        <v>0.1</v>
      </c>
    </row>
    <row r="16" spans="1:12" x14ac:dyDescent="0.35">
      <c r="A16" s="17" t="s">
        <v>120</v>
      </c>
      <c r="C16" s="39">
        <f t="shared" ref="C16:K16" si="1">C14*C15</f>
        <v>7.04</v>
      </c>
      <c r="D16" s="39">
        <f t="shared" si="1"/>
        <v>12.635999999999999</v>
      </c>
      <c r="E16" s="39">
        <f t="shared" si="1"/>
        <v>23.04</v>
      </c>
      <c r="F16" s="39">
        <f t="shared" si="1"/>
        <v>33.659999999999997</v>
      </c>
      <c r="G16" s="39">
        <f t="shared" si="1"/>
        <v>53.424000000000007</v>
      </c>
      <c r="H16" s="39">
        <f t="shared" si="1"/>
        <v>74.911200000000022</v>
      </c>
      <c r="I16" s="39">
        <f t="shared" si="1"/>
        <v>100.45235200000003</v>
      </c>
      <c r="J16" s="39">
        <f t="shared" si="1"/>
        <v>130.13874720000004</v>
      </c>
      <c r="K16" s="39">
        <f t="shared" si="1"/>
        <v>163.44066816000009</v>
      </c>
    </row>
    <row r="18" spans="1:12" ht="21.75" customHeight="1" x14ac:dyDescent="0.35">
      <c r="A18" s="24" t="s">
        <v>121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20" spans="1:12" x14ac:dyDescent="0.35">
      <c r="A20" s="36" t="s">
        <v>122</v>
      </c>
      <c r="C20" s="41">
        <f>'2. Operating Assumptions'!C31</f>
        <v>25</v>
      </c>
      <c r="D20" s="41">
        <f>'2. Operating Assumptions'!D31</f>
        <v>35</v>
      </c>
      <c r="E20" s="41">
        <f>'2. Operating Assumptions'!E31</f>
        <v>45</v>
      </c>
      <c r="F20" s="41">
        <f>'2. Operating Assumptions'!F31</f>
        <v>50</v>
      </c>
      <c r="G20" s="41">
        <f>'2. Operating Assumptions'!G31</f>
        <v>55</v>
      </c>
      <c r="H20" s="41">
        <f>'2. Operating Assumptions'!H31</f>
        <v>60</v>
      </c>
      <c r="I20" s="41">
        <f>'2. Operating Assumptions'!I31</f>
        <v>65</v>
      </c>
      <c r="J20" s="41">
        <f>'2. Operating Assumptions'!J31</f>
        <v>70</v>
      </c>
      <c r="K20" s="41">
        <f>'2. Operating Assumptions'!K31</f>
        <v>75</v>
      </c>
    </row>
    <row r="21" spans="1:12" x14ac:dyDescent="0.35">
      <c r="A21" s="36" t="s">
        <v>123</v>
      </c>
      <c r="C21" s="42">
        <f>'2. Operating Assumptions'!C32</f>
        <v>9</v>
      </c>
      <c r="D21" s="42">
        <f>'2. Operating Assumptions'!D32</f>
        <v>9</v>
      </c>
      <c r="E21" s="42">
        <f>'2. Operating Assumptions'!E32</f>
        <v>9.5</v>
      </c>
      <c r="F21" s="42">
        <f>'2. Operating Assumptions'!F32</f>
        <v>10</v>
      </c>
      <c r="G21" s="42">
        <f>'2. Operating Assumptions'!G32</f>
        <v>10</v>
      </c>
      <c r="H21" s="42">
        <f>'2. Operating Assumptions'!H32</f>
        <v>10</v>
      </c>
      <c r="I21" s="42">
        <f>'2. Operating Assumptions'!I32</f>
        <v>10.5</v>
      </c>
      <c r="J21" s="42">
        <f>'2. Operating Assumptions'!J32</f>
        <v>11</v>
      </c>
      <c r="K21" s="42">
        <f>'2. Operating Assumptions'!K32</f>
        <v>11</v>
      </c>
    </row>
    <row r="22" spans="1:12" x14ac:dyDescent="0.35">
      <c r="A22" s="17" t="s">
        <v>124</v>
      </c>
      <c r="C22" s="39">
        <f t="shared" ref="C22:K22" si="2">C20*C21/10</f>
        <v>22.5</v>
      </c>
      <c r="D22" s="39">
        <f t="shared" si="2"/>
        <v>31.5</v>
      </c>
      <c r="E22" s="39">
        <f t="shared" si="2"/>
        <v>42.75</v>
      </c>
      <c r="F22" s="39">
        <f t="shared" si="2"/>
        <v>50</v>
      </c>
      <c r="G22" s="39">
        <f t="shared" si="2"/>
        <v>55</v>
      </c>
      <c r="H22" s="39">
        <f t="shared" si="2"/>
        <v>60</v>
      </c>
      <c r="I22" s="39">
        <f t="shared" si="2"/>
        <v>68.25</v>
      </c>
      <c r="J22" s="39">
        <f t="shared" si="2"/>
        <v>77</v>
      </c>
      <c r="K22" s="39">
        <f t="shared" si="2"/>
        <v>82.5</v>
      </c>
    </row>
    <row r="24" spans="1:12" ht="21.75" customHeight="1" x14ac:dyDescent="0.35">
      <c r="A24" s="24" t="s">
        <v>125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6" spans="1:12" x14ac:dyDescent="0.35">
      <c r="A26" s="36" t="s">
        <v>126</v>
      </c>
      <c r="C26" s="41">
        <f>'2. Operating Assumptions'!C10</f>
        <v>550</v>
      </c>
      <c r="D26" s="41">
        <f>'2. Operating Assumptions'!D10</f>
        <v>585</v>
      </c>
      <c r="E26" s="41">
        <f>'2. Operating Assumptions'!E10</f>
        <v>640</v>
      </c>
      <c r="F26" s="41">
        <f>'2. Operating Assumptions'!F10</f>
        <v>680</v>
      </c>
      <c r="G26" s="41">
        <f>'2. Operating Assumptions'!G10</f>
        <v>742</v>
      </c>
      <c r="H26" s="41">
        <f>'2. Operating Assumptions'!H10</f>
        <v>823.20000000000016</v>
      </c>
      <c r="I26" s="41">
        <f>'2. Operating Assumptions'!I10</f>
        <v>896.89600000000019</v>
      </c>
      <c r="J26" s="41">
        <f>'2. Operating Assumptions'!J10</f>
        <v>963.99072000000024</v>
      </c>
      <c r="K26" s="41">
        <f>'2. Operating Assumptions'!K10</f>
        <v>1021.5041760000004</v>
      </c>
    </row>
    <row r="27" spans="1:12" x14ac:dyDescent="0.35">
      <c r="A27" s="36" t="s">
        <v>127</v>
      </c>
      <c r="C27" s="41">
        <f>'2. Operating Assumptions'!C33</f>
        <v>250</v>
      </c>
      <c r="D27" s="41">
        <f>'2. Operating Assumptions'!D33</f>
        <v>350</v>
      </c>
      <c r="E27" s="41">
        <f>'2. Operating Assumptions'!E33</f>
        <v>450</v>
      </c>
      <c r="F27" s="41">
        <f>'2. Operating Assumptions'!F33</f>
        <v>600</v>
      </c>
      <c r="G27" s="41">
        <f>'2. Operating Assumptions'!G33</f>
        <v>700</v>
      </c>
      <c r="H27" s="41">
        <f>'2. Operating Assumptions'!H33</f>
        <v>800</v>
      </c>
      <c r="I27" s="41">
        <f>'2. Operating Assumptions'!I33</f>
        <v>900</v>
      </c>
      <c r="J27" s="41">
        <f>'2. Operating Assumptions'!J33</f>
        <v>1000</v>
      </c>
      <c r="K27" s="41">
        <f>'2. Operating Assumptions'!K33</f>
        <v>1100</v>
      </c>
    </row>
    <row r="28" spans="1:12" x14ac:dyDescent="0.35">
      <c r="A28" s="17" t="s">
        <v>128</v>
      </c>
      <c r="C28" s="39">
        <f t="shared" ref="C28:K28" si="3">C26*C27/10000</f>
        <v>13.75</v>
      </c>
      <c r="D28" s="39">
        <f t="shared" si="3"/>
        <v>20.475000000000001</v>
      </c>
      <c r="E28" s="39">
        <f t="shared" si="3"/>
        <v>28.8</v>
      </c>
      <c r="F28" s="39">
        <f t="shared" si="3"/>
        <v>40.799999999999997</v>
      </c>
      <c r="G28" s="39">
        <f t="shared" si="3"/>
        <v>51.94</v>
      </c>
      <c r="H28" s="39">
        <f t="shared" si="3"/>
        <v>65.856000000000009</v>
      </c>
      <c r="I28" s="39">
        <f t="shared" si="3"/>
        <v>80.720640000000017</v>
      </c>
      <c r="J28" s="39">
        <f t="shared" si="3"/>
        <v>96.399072000000018</v>
      </c>
      <c r="K28" s="39">
        <f t="shared" si="3"/>
        <v>112.36545936000005</v>
      </c>
    </row>
    <row r="30" spans="1:12" ht="21.75" customHeight="1" x14ac:dyDescent="0.35">
      <c r="A30" s="24" t="s">
        <v>129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2" spans="1:12" x14ac:dyDescent="0.35">
      <c r="A32" s="43" t="s">
        <v>130</v>
      </c>
      <c r="C32" s="44">
        <f t="shared" ref="C32:K32" si="4">C10+C16+C22+C28</f>
        <v>161.79300000000001</v>
      </c>
      <c r="D32" s="44">
        <f t="shared" si="4"/>
        <v>210.55679999999998</v>
      </c>
      <c r="E32" s="44">
        <f t="shared" si="4"/>
        <v>271.22999999999996</v>
      </c>
      <c r="F32" s="44">
        <f t="shared" si="4"/>
        <v>325.70192000000003</v>
      </c>
      <c r="G32" s="44">
        <f t="shared" si="4"/>
        <v>403.97744</v>
      </c>
      <c r="H32" s="44">
        <f t="shared" si="4"/>
        <v>490.60933440000008</v>
      </c>
      <c r="I32" s="44">
        <f t="shared" si="4"/>
        <v>585.73746649600002</v>
      </c>
      <c r="J32" s="44">
        <f t="shared" si="4"/>
        <v>686.14573596800017</v>
      </c>
      <c r="K32" s="44">
        <f t="shared" si="4"/>
        <v>794.20238950272028</v>
      </c>
    </row>
    <row r="33" spans="1:12" x14ac:dyDescent="0.35">
      <c r="A33" s="29" t="s">
        <v>131</v>
      </c>
      <c r="D33" s="45">
        <f t="shared" ref="D33:K33" si="5">IFERROR(D32/C32-1,0)</f>
        <v>0.30139622851421244</v>
      </c>
      <c r="E33" s="45">
        <f t="shared" si="5"/>
        <v>0.28815597501481771</v>
      </c>
      <c r="F33" s="45">
        <f t="shared" si="5"/>
        <v>0.20083294620801562</v>
      </c>
      <c r="G33" s="45">
        <f t="shared" si="5"/>
        <v>0.24032870300549636</v>
      </c>
      <c r="H33" s="45">
        <f t="shared" si="5"/>
        <v>0.21444735725836583</v>
      </c>
      <c r="I33" s="45">
        <f t="shared" si="5"/>
        <v>0.19389792534693351</v>
      </c>
      <c r="J33" s="45">
        <f t="shared" si="5"/>
        <v>0.17142196839936275</v>
      </c>
      <c r="K33" s="45">
        <f t="shared" si="5"/>
        <v>0.15748353137001714</v>
      </c>
    </row>
    <row r="35" spans="1:12" x14ac:dyDescent="0.35">
      <c r="A35" s="36" t="s">
        <v>132</v>
      </c>
      <c r="F35" s="34">
        <v>342</v>
      </c>
    </row>
    <row r="36" spans="1:12" x14ac:dyDescent="0.35">
      <c r="A36" s="36" t="s">
        <v>133</v>
      </c>
      <c r="F36" s="32">
        <f>F32</f>
        <v>325.70192000000003</v>
      </c>
    </row>
    <row r="37" spans="1:12" x14ac:dyDescent="0.35">
      <c r="A37" s="46" t="s">
        <v>134</v>
      </c>
      <c r="F37" s="47">
        <f>(F32-F35)/F35</f>
        <v>-4.7655204678362484E-2</v>
      </c>
    </row>
    <row r="39" spans="1:12" ht="21.75" customHeight="1" x14ac:dyDescent="0.35">
      <c r="A39" s="24" t="s">
        <v>135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1" spans="1:12" x14ac:dyDescent="0.35">
      <c r="A41" s="13" t="s">
        <v>136</v>
      </c>
      <c r="C41" s="45">
        <f t="shared" ref="C41:K41" si="6">C10/C32</f>
        <v>0.73243589030427769</v>
      </c>
      <c r="D41" s="45">
        <f t="shared" si="6"/>
        <v>0.69314218301189989</v>
      </c>
      <c r="E41" s="45">
        <f t="shared" si="6"/>
        <v>0.6512553921026436</v>
      </c>
      <c r="F41" s="45">
        <f t="shared" si="6"/>
        <v>0.61787145743568217</v>
      </c>
      <c r="G41" s="45">
        <f t="shared" si="6"/>
        <v>0.6030372389111629</v>
      </c>
      <c r="H41" s="45">
        <f t="shared" si="6"/>
        <v>0.59077990180204776</v>
      </c>
      <c r="I41" s="45">
        <f t="shared" si="6"/>
        <v>0.57417272025964328</v>
      </c>
      <c r="J41" s="45">
        <f t="shared" si="6"/>
        <v>0.55761902568442667</v>
      </c>
      <c r="K41" s="45">
        <f t="shared" si="6"/>
        <v>0.54884783493997169</v>
      </c>
    </row>
    <row r="42" spans="1:12" x14ac:dyDescent="0.35">
      <c r="A42" s="13" t="s">
        <v>137</v>
      </c>
      <c r="C42" s="45">
        <f t="shared" ref="C42:K42" si="7">C16/C32</f>
        <v>4.351238928754643E-2</v>
      </c>
      <c r="D42" s="45">
        <f t="shared" si="7"/>
        <v>6.0012310217480512E-2</v>
      </c>
      <c r="E42" s="45">
        <f t="shared" si="7"/>
        <v>8.4946355491649167E-2</v>
      </c>
      <c r="F42" s="45">
        <f t="shared" si="7"/>
        <v>0.10334602878607529</v>
      </c>
      <c r="G42" s="45">
        <f t="shared" si="7"/>
        <v>0.1322450085331498</v>
      </c>
      <c r="H42" s="45">
        <f t="shared" si="7"/>
        <v>0.15269012378578994</v>
      </c>
      <c r="I42" s="45">
        <f t="shared" si="7"/>
        <v>0.17149722827348968</v>
      </c>
      <c r="J42" s="45">
        <f t="shared" si="7"/>
        <v>0.18966633526681179</v>
      </c>
      <c r="K42" s="45">
        <f t="shared" si="7"/>
        <v>0.20579221407572998</v>
      </c>
    </row>
    <row r="43" spans="1:12" x14ac:dyDescent="0.35">
      <c r="A43" s="13" t="s">
        <v>138</v>
      </c>
      <c r="C43" s="45">
        <f t="shared" ref="C43:K43" si="8">C22/C32</f>
        <v>0.13906658508093675</v>
      </c>
      <c r="D43" s="45">
        <f t="shared" si="8"/>
        <v>0.14960333743673918</v>
      </c>
      <c r="E43" s="45">
        <f t="shared" si="8"/>
        <v>0.1576153080411459</v>
      </c>
      <c r="F43" s="45">
        <f t="shared" si="8"/>
        <v>0.15351460009815107</v>
      </c>
      <c r="G43" s="45">
        <f t="shared" si="8"/>
        <v>0.13614621648179165</v>
      </c>
      <c r="H43" s="45">
        <f t="shared" si="8"/>
        <v>0.12229689855652284</v>
      </c>
      <c r="I43" s="45">
        <f t="shared" si="8"/>
        <v>0.1165197787470986</v>
      </c>
      <c r="J43" s="45">
        <f t="shared" si="8"/>
        <v>0.11222105736964173</v>
      </c>
      <c r="K43" s="45">
        <f t="shared" si="8"/>
        <v>0.10387780380723398</v>
      </c>
    </row>
    <row r="44" spans="1:12" x14ac:dyDescent="0.35">
      <c r="A44" s="13" t="s">
        <v>139</v>
      </c>
      <c r="C44" s="45">
        <f t="shared" ref="C44:K44" si="9">C28/C32</f>
        <v>8.4985135327239128E-2</v>
      </c>
      <c r="D44" s="45">
        <f t="shared" si="9"/>
        <v>9.7242169333880468E-2</v>
      </c>
      <c r="E44" s="45">
        <f t="shared" si="9"/>
        <v>0.10618294436456147</v>
      </c>
      <c r="F44" s="45">
        <f t="shared" si="9"/>
        <v>0.12526791368009127</v>
      </c>
      <c r="G44" s="45">
        <f t="shared" si="9"/>
        <v>0.1285715360738956</v>
      </c>
      <c r="H44" s="45">
        <f t="shared" si="9"/>
        <v>0.13423307585563948</v>
      </c>
      <c r="I44" s="45">
        <f t="shared" si="9"/>
        <v>0.13781027271976848</v>
      </c>
      <c r="J44" s="45">
        <f t="shared" si="9"/>
        <v>0.14049358167911982</v>
      </c>
      <c r="K44" s="45">
        <f t="shared" si="9"/>
        <v>0.14148214717706434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L2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38" customWidth="1"/>
    <col min="2" max="2" width="2" customWidth="1"/>
    <col min="3" max="11" width="11" customWidth="1"/>
  </cols>
  <sheetData>
    <row r="1" spans="1:12" ht="27.75" customHeight="1" x14ac:dyDescent="0.35">
      <c r="A1" s="19" t="s">
        <v>140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141</v>
      </c>
    </row>
    <row r="4" spans="1:12" x14ac:dyDescent="0.35">
      <c r="C4" s="22" t="s">
        <v>56</v>
      </c>
      <c r="D4" s="22" t="s">
        <v>57</v>
      </c>
      <c r="E4" s="22" t="s">
        <v>58</v>
      </c>
      <c r="F4" s="22" t="s">
        <v>59</v>
      </c>
      <c r="G4" s="22" t="s">
        <v>60</v>
      </c>
      <c r="H4" s="22" t="s">
        <v>61</v>
      </c>
      <c r="I4" s="22" t="s">
        <v>62</v>
      </c>
      <c r="J4" s="22" t="s">
        <v>63</v>
      </c>
      <c r="K4" s="22" t="s">
        <v>64</v>
      </c>
    </row>
    <row r="6" spans="1:12" ht="21.75" customHeight="1" x14ac:dyDescent="0.35">
      <c r="A6" s="24" t="s">
        <v>142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2" x14ac:dyDescent="0.35">
      <c r="A8" s="36" t="s">
        <v>116</v>
      </c>
      <c r="C8" s="37">
        <f>'3. Revenue Build'!C10</f>
        <v>118.503</v>
      </c>
      <c r="D8" s="37">
        <f>'3. Revenue Build'!D10</f>
        <v>145.94579999999999</v>
      </c>
      <c r="E8" s="37">
        <f>'3. Revenue Build'!E10</f>
        <v>176.64</v>
      </c>
      <c r="F8" s="37">
        <f>'3. Revenue Build'!F10</f>
        <v>201.24191999999999</v>
      </c>
      <c r="G8" s="37">
        <f>'3. Revenue Build'!G10</f>
        <v>243.61344</v>
      </c>
      <c r="H8" s="37">
        <f>'3. Revenue Build'!H10</f>
        <v>289.84213440000008</v>
      </c>
      <c r="I8" s="37">
        <f>'3. Revenue Build'!I10</f>
        <v>336.314474496</v>
      </c>
      <c r="J8" s="37">
        <f>'3. Revenue Build'!J10</f>
        <v>382.60791676800011</v>
      </c>
      <c r="K8" s="37">
        <f>'3. Revenue Build'!K10</f>
        <v>435.89626198272015</v>
      </c>
    </row>
    <row r="9" spans="1:12" x14ac:dyDescent="0.35">
      <c r="A9" s="36" t="s">
        <v>143</v>
      </c>
      <c r="C9" s="40">
        <f>'2. Operating Assumptions'!C37</f>
        <v>0.35</v>
      </c>
      <c r="D9" s="40">
        <f>'2. Operating Assumptions'!D37</f>
        <v>0.34</v>
      </c>
      <c r="E9" s="40">
        <f>'2. Operating Assumptions'!E37</f>
        <v>0.33</v>
      </c>
      <c r="F9" s="40">
        <f>'2. Operating Assumptions'!F37</f>
        <v>0.32</v>
      </c>
      <c r="G9" s="40">
        <f>'2. Operating Assumptions'!G37</f>
        <v>0.3</v>
      </c>
      <c r="H9" s="40">
        <f>'2. Operating Assumptions'!H37</f>
        <v>0.28000000000000003</v>
      </c>
      <c r="I9" s="40">
        <f>'2. Operating Assumptions'!I37</f>
        <v>0.27</v>
      </c>
      <c r="J9" s="40">
        <f>'2. Operating Assumptions'!J37</f>
        <v>0.26</v>
      </c>
      <c r="K9" s="40">
        <f>'2. Operating Assumptions'!K37</f>
        <v>0.25</v>
      </c>
    </row>
    <row r="10" spans="1:12" x14ac:dyDescent="0.35">
      <c r="A10" s="17" t="s">
        <v>144</v>
      </c>
      <c r="C10" s="39">
        <f t="shared" ref="C10:K10" si="0">C8*C9</f>
        <v>41.476050000000001</v>
      </c>
      <c r="D10" s="39">
        <f t="shared" si="0"/>
        <v>49.621572</v>
      </c>
      <c r="E10" s="39">
        <f t="shared" si="0"/>
        <v>58.291199999999996</v>
      </c>
      <c r="F10" s="39">
        <f t="shared" si="0"/>
        <v>64.397414400000002</v>
      </c>
      <c r="G10" s="39">
        <f t="shared" si="0"/>
        <v>73.084031999999993</v>
      </c>
      <c r="H10" s="39">
        <f t="shared" si="0"/>
        <v>81.155797632000031</v>
      </c>
      <c r="I10" s="39">
        <f t="shared" si="0"/>
        <v>90.804908113920007</v>
      </c>
      <c r="J10" s="39">
        <f t="shared" si="0"/>
        <v>99.478058359680034</v>
      </c>
      <c r="K10" s="39">
        <f t="shared" si="0"/>
        <v>108.97406549568004</v>
      </c>
    </row>
    <row r="12" spans="1:12" x14ac:dyDescent="0.35">
      <c r="A12" s="36" t="s">
        <v>145</v>
      </c>
      <c r="C12" s="37">
        <f>'3. Revenue Build'!C22</f>
        <v>22.5</v>
      </c>
      <c r="D12" s="37">
        <f>'3. Revenue Build'!D22</f>
        <v>31.5</v>
      </c>
      <c r="E12" s="37">
        <f>'3. Revenue Build'!E22</f>
        <v>42.75</v>
      </c>
      <c r="F12" s="37">
        <f>'3. Revenue Build'!F22</f>
        <v>50</v>
      </c>
      <c r="G12" s="37">
        <f>'3. Revenue Build'!G22</f>
        <v>55</v>
      </c>
      <c r="H12" s="37">
        <f>'3. Revenue Build'!H22</f>
        <v>60</v>
      </c>
      <c r="I12" s="37">
        <f>'3. Revenue Build'!I22</f>
        <v>68.25</v>
      </c>
      <c r="J12" s="37">
        <f>'3. Revenue Build'!J22</f>
        <v>77</v>
      </c>
      <c r="K12" s="37">
        <f>'3. Revenue Build'!K22</f>
        <v>82.5</v>
      </c>
    </row>
    <row r="13" spans="1:12" x14ac:dyDescent="0.35">
      <c r="A13" s="36" t="s">
        <v>146</v>
      </c>
      <c r="C13" s="40">
        <f>'2. Operating Assumptions'!C38</f>
        <v>0.78</v>
      </c>
      <c r="D13" s="40">
        <f>'2. Operating Assumptions'!D38</f>
        <v>0.78</v>
      </c>
      <c r="E13" s="40">
        <f>'2. Operating Assumptions'!E38</f>
        <v>0.78</v>
      </c>
      <c r="F13" s="40">
        <f>'2. Operating Assumptions'!F38</f>
        <v>0.78</v>
      </c>
      <c r="G13" s="40">
        <f>'2. Operating Assumptions'!G38</f>
        <v>0.78</v>
      </c>
      <c r="H13" s="40">
        <f>'2. Operating Assumptions'!H38</f>
        <v>0.78</v>
      </c>
      <c r="I13" s="40">
        <f>'2. Operating Assumptions'!I38</f>
        <v>0.78</v>
      </c>
      <c r="J13" s="40">
        <f>'2. Operating Assumptions'!J38</f>
        <v>0.78</v>
      </c>
      <c r="K13" s="40">
        <f>'2. Operating Assumptions'!K38</f>
        <v>0.78</v>
      </c>
    </row>
    <row r="14" spans="1:12" x14ac:dyDescent="0.35">
      <c r="A14" s="17" t="s">
        <v>147</v>
      </c>
      <c r="C14" s="39">
        <f t="shared" ref="C14:K14" si="1">C12*C13</f>
        <v>17.55</v>
      </c>
      <c r="D14" s="39">
        <f t="shared" si="1"/>
        <v>24.57</v>
      </c>
      <c r="E14" s="39">
        <f t="shared" si="1"/>
        <v>33.344999999999999</v>
      </c>
      <c r="F14" s="39">
        <f t="shared" si="1"/>
        <v>39</v>
      </c>
      <c r="G14" s="39">
        <f t="shared" si="1"/>
        <v>42.9</v>
      </c>
      <c r="H14" s="39">
        <f t="shared" si="1"/>
        <v>46.800000000000004</v>
      </c>
      <c r="I14" s="39">
        <f t="shared" si="1"/>
        <v>53.234999999999999</v>
      </c>
      <c r="J14" s="39">
        <f t="shared" si="1"/>
        <v>60.06</v>
      </c>
      <c r="K14" s="39">
        <f t="shared" si="1"/>
        <v>64.350000000000009</v>
      </c>
    </row>
    <row r="16" spans="1:12" x14ac:dyDescent="0.35">
      <c r="A16" s="43" t="s">
        <v>148</v>
      </c>
      <c r="C16" s="44">
        <f t="shared" ref="C16:K16" si="2">C10+C14</f>
        <v>59.026049999999998</v>
      </c>
      <c r="D16" s="44">
        <f t="shared" si="2"/>
        <v>74.191572000000008</v>
      </c>
      <c r="E16" s="44">
        <f t="shared" si="2"/>
        <v>91.636200000000002</v>
      </c>
      <c r="F16" s="44">
        <f t="shared" si="2"/>
        <v>103.3974144</v>
      </c>
      <c r="G16" s="44">
        <f t="shared" si="2"/>
        <v>115.98403199999998</v>
      </c>
      <c r="H16" s="44">
        <f t="shared" si="2"/>
        <v>127.95579763200004</v>
      </c>
      <c r="I16" s="44">
        <f t="shared" si="2"/>
        <v>144.03990811392001</v>
      </c>
      <c r="J16" s="44">
        <f t="shared" si="2"/>
        <v>159.53805835968004</v>
      </c>
      <c r="K16" s="44">
        <f t="shared" si="2"/>
        <v>173.32406549568003</v>
      </c>
    </row>
    <row r="18" spans="1:12" ht="21.75" customHeight="1" x14ac:dyDescent="0.35">
      <c r="A18" s="24" t="s">
        <v>149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20" spans="1:12" x14ac:dyDescent="0.35">
      <c r="A20" s="13" t="s">
        <v>92</v>
      </c>
      <c r="C20" s="37">
        <f>'2. Operating Assumptions'!C39</f>
        <v>85</v>
      </c>
      <c r="D20" s="37">
        <f>'2. Operating Assumptions'!D39</f>
        <v>100</v>
      </c>
      <c r="E20" s="37">
        <f>'2. Operating Assumptions'!E39</f>
        <v>115</v>
      </c>
      <c r="F20" s="37">
        <f>'2. Operating Assumptions'!F39</f>
        <v>130</v>
      </c>
      <c r="G20" s="37">
        <f>'2. Operating Assumptions'!G39</f>
        <v>150</v>
      </c>
      <c r="H20" s="37">
        <f>'2. Operating Assumptions'!H39</f>
        <v>175</v>
      </c>
      <c r="I20" s="37">
        <f>'2. Operating Assumptions'!I39</f>
        <v>200</v>
      </c>
      <c r="J20" s="37">
        <f>'2. Operating Assumptions'!J39</f>
        <v>225</v>
      </c>
      <c r="K20" s="37">
        <f>'2. Operating Assumptions'!K39</f>
        <v>250</v>
      </c>
    </row>
    <row r="21" spans="1:12" x14ac:dyDescent="0.35">
      <c r="A21" s="13" t="s">
        <v>93</v>
      </c>
      <c r="C21" s="37">
        <f>'2. Operating Assumptions'!C40</f>
        <v>45</v>
      </c>
      <c r="D21" s="37">
        <f>'2. Operating Assumptions'!D40</f>
        <v>55</v>
      </c>
      <c r="E21" s="37">
        <f>'2. Operating Assumptions'!E40</f>
        <v>70</v>
      </c>
      <c r="F21" s="37">
        <f>'2. Operating Assumptions'!F40</f>
        <v>80</v>
      </c>
      <c r="G21" s="37">
        <f>'2. Operating Assumptions'!G40</f>
        <v>92</v>
      </c>
      <c r="H21" s="37">
        <f>'2. Operating Assumptions'!H40</f>
        <v>108</v>
      </c>
      <c r="I21" s="37">
        <f>'2. Operating Assumptions'!I40</f>
        <v>128</v>
      </c>
      <c r="J21" s="37">
        <f>'2. Operating Assumptions'!J40</f>
        <v>150</v>
      </c>
      <c r="K21" s="37">
        <f>'2. Operating Assumptions'!K40</f>
        <v>175</v>
      </c>
    </row>
    <row r="22" spans="1:12" x14ac:dyDescent="0.35">
      <c r="A22" s="43" t="s">
        <v>150</v>
      </c>
      <c r="C22" s="44">
        <f t="shared" ref="C22:K22" si="3">C20+C21</f>
        <v>130</v>
      </c>
      <c r="D22" s="44">
        <f t="shared" si="3"/>
        <v>155</v>
      </c>
      <c r="E22" s="44">
        <f t="shared" si="3"/>
        <v>185</v>
      </c>
      <c r="F22" s="44">
        <f t="shared" si="3"/>
        <v>210</v>
      </c>
      <c r="G22" s="44">
        <f t="shared" si="3"/>
        <v>242</v>
      </c>
      <c r="H22" s="44">
        <f t="shared" si="3"/>
        <v>283</v>
      </c>
      <c r="I22" s="44">
        <f t="shared" si="3"/>
        <v>328</v>
      </c>
      <c r="J22" s="44">
        <f t="shared" si="3"/>
        <v>375</v>
      </c>
      <c r="K22" s="44">
        <f t="shared" si="3"/>
        <v>425</v>
      </c>
    </row>
    <row r="24" spans="1:12" ht="21.75" customHeight="1" x14ac:dyDescent="0.35">
      <c r="A24" s="24" t="s">
        <v>151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6" spans="1:12" x14ac:dyDescent="0.35">
      <c r="A26" s="43" t="s">
        <v>152</v>
      </c>
      <c r="C26" s="44">
        <f t="shared" ref="C26:K26" si="4">C16+C22</f>
        <v>189.02605</v>
      </c>
      <c r="D26" s="44">
        <f t="shared" si="4"/>
        <v>229.19157200000001</v>
      </c>
      <c r="E26" s="44">
        <f t="shared" si="4"/>
        <v>276.63620000000003</v>
      </c>
      <c r="F26" s="44">
        <f t="shared" si="4"/>
        <v>313.3974144</v>
      </c>
      <c r="G26" s="44">
        <f t="shared" si="4"/>
        <v>357.98403199999996</v>
      </c>
      <c r="H26" s="44">
        <f t="shared" si="4"/>
        <v>410.95579763200004</v>
      </c>
      <c r="I26" s="44">
        <f t="shared" si="4"/>
        <v>472.03990811391998</v>
      </c>
      <c r="J26" s="44">
        <f t="shared" si="4"/>
        <v>534.53805835968001</v>
      </c>
      <c r="K26" s="44">
        <f t="shared" si="4"/>
        <v>598.32406549568009</v>
      </c>
    </row>
    <row r="28" spans="1:12" x14ac:dyDescent="0.35">
      <c r="A28" s="36" t="s">
        <v>153</v>
      </c>
      <c r="C28" s="45">
        <f>C26/'3. Revenue Build'!C32</f>
        <v>1.1683203228817067</v>
      </c>
      <c r="D28" s="45">
        <f>D26/'3. Revenue Build'!D32</f>
        <v>1.088502351859451</v>
      </c>
      <c r="E28" s="45">
        <f>E26/'3. Revenue Build'!E32</f>
        <v>1.0199321608966563</v>
      </c>
      <c r="F28" s="45">
        <f>F26/'3. Revenue Build'!F32</f>
        <v>0.96222157486821069</v>
      </c>
      <c r="G28" s="45">
        <f>G26/'3. Revenue Build'!G32</f>
        <v>0.88614857304902961</v>
      </c>
      <c r="H28" s="45">
        <f>H26/'3. Revenue Build'!H32</f>
        <v>0.83764365823692732</v>
      </c>
      <c r="I28" s="45">
        <f>I26/'3. Revenue Build'!I32</f>
        <v>0.80588989968109459</v>
      </c>
      <c r="J28" s="45">
        <f>J26/'3. Revenue Build'!J32</f>
        <v>0.7790444949797215</v>
      </c>
      <c r="K28" s="45">
        <f>K26/'3. Revenue Build'!K32</f>
        <v>0.75336472592371961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L4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38" customWidth="1"/>
    <col min="2" max="2" width="2" customWidth="1"/>
    <col min="3" max="11" width="11" customWidth="1"/>
  </cols>
  <sheetData>
    <row r="1" spans="1:12" ht="27.75" customHeight="1" x14ac:dyDescent="0.35">
      <c r="A1" s="19" t="s">
        <v>154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155</v>
      </c>
    </row>
    <row r="4" spans="1:12" x14ac:dyDescent="0.35">
      <c r="C4" s="22" t="s">
        <v>56</v>
      </c>
      <c r="D4" s="22" t="s">
        <v>57</v>
      </c>
      <c r="E4" s="22" t="s">
        <v>58</v>
      </c>
      <c r="F4" s="22" t="s">
        <v>59</v>
      </c>
      <c r="G4" s="22" t="s">
        <v>60</v>
      </c>
      <c r="H4" s="22" t="s">
        <v>61</v>
      </c>
      <c r="I4" s="22" t="s">
        <v>62</v>
      </c>
      <c r="J4" s="22" t="s">
        <v>63</v>
      </c>
      <c r="K4" s="22" t="s">
        <v>64</v>
      </c>
    </row>
    <row r="6" spans="1:12" x14ac:dyDescent="0.35">
      <c r="A6" s="43" t="s">
        <v>156</v>
      </c>
      <c r="C6" s="48">
        <f>'3. Revenue Build'!C32</f>
        <v>161.79300000000001</v>
      </c>
      <c r="D6" s="48">
        <f>'3. Revenue Build'!D32</f>
        <v>210.55679999999998</v>
      </c>
      <c r="E6" s="48">
        <f>'3. Revenue Build'!E32</f>
        <v>271.22999999999996</v>
      </c>
      <c r="F6" s="48">
        <f>'3. Revenue Build'!F32</f>
        <v>325.70192000000003</v>
      </c>
      <c r="G6" s="48">
        <f>'3. Revenue Build'!G32</f>
        <v>403.97744</v>
      </c>
      <c r="H6" s="48">
        <f>'3. Revenue Build'!H32</f>
        <v>490.60933440000008</v>
      </c>
      <c r="I6" s="48">
        <f>'3. Revenue Build'!I32</f>
        <v>585.73746649600002</v>
      </c>
      <c r="J6" s="48">
        <f>'3. Revenue Build'!J32</f>
        <v>686.14573596800017</v>
      </c>
      <c r="K6" s="48">
        <f>'3. Revenue Build'!K32</f>
        <v>794.20238950272028</v>
      </c>
    </row>
    <row r="7" spans="1:12" x14ac:dyDescent="0.35">
      <c r="A7" s="49" t="s">
        <v>131</v>
      </c>
      <c r="D7" s="45">
        <f t="shared" ref="D7:K7" si="0">IFERROR(D6/C6-1,0)</f>
        <v>0.30139622851421244</v>
      </c>
      <c r="E7" s="45">
        <f t="shared" si="0"/>
        <v>0.28815597501481771</v>
      </c>
      <c r="F7" s="45">
        <f t="shared" si="0"/>
        <v>0.20083294620801562</v>
      </c>
      <c r="G7" s="45">
        <f t="shared" si="0"/>
        <v>0.24032870300549636</v>
      </c>
      <c r="H7" s="45">
        <f t="shared" si="0"/>
        <v>0.21444735725836583</v>
      </c>
      <c r="I7" s="45">
        <f t="shared" si="0"/>
        <v>0.19389792534693351</v>
      </c>
      <c r="J7" s="45">
        <f t="shared" si="0"/>
        <v>0.17142196839936275</v>
      </c>
      <c r="K7" s="45">
        <f t="shared" si="0"/>
        <v>0.15748353137001714</v>
      </c>
    </row>
    <row r="9" spans="1:12" ht="21.75" customHeight="1" x14ac:dyDescent="0.35">
      <c r="A9" s="24" t="s">
        <v>157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1" spans="1:12" x14ac:dyDescent="0.35">
      <c r="A11" s="50" t="s">
        <v>158</v>
      </c>
      <c r="C11" s="34">
        <v>230</v>
      </c>
      <c r="D11" s="34">
        <v>274</v>
      </c>
      <c r="E11" s="34">
        <v>277</v>
      </c>
      <c r="F11" s="34">
        <v>342</v>
      </c>
      <c r="L11" t="s">
        <v>159</v>
      </c>
    </row>
    <row r="12" spans="1:12" x14ac:dyDescent="0.35">
      <c r="A12" s="46" t="s">
        <v>160</v>
      </c>
      <c r="C12" s="47">
        <f>IFERROR(C6/C11-1,0)</f>
        <v>-0.29655217391304345</v>
      </c>
      <c r="D12" s="47">
        <f>IFERROR(D6/D11-1,0)</f>
        <v>-0.23154452554744531</v>
      </c>
      <c r="E12" s="47">
        <f>IFERROR(E6/E11-1,0)</f>
        <v>-2.0830324909747455E-2</v>
      </c>
      <c r="F12" s="47">
        <f>IFERROR(F6/F11-1,0)</f>
        <v>-4.7655204678362484E-2</v>
      </c>
    </row>
    <row r="14" spans="1:12" ht="21.75" customHeight="1" x14ac:dyDescent="0.35">
      <c r="A14" s="24" t="s">
        <v>161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2" x14ac:dyDescent="0.35">
      <c r="A16" s="13" t="s">
        <v>162</v>
      </c>
      <c r="C16" s="37">
        <f>'4. Cost Build'!C16</f>
        <v>59.026049999999998</v>
      </c>
      <c r="D16" s="37">
        <f>'4. Cost Build'!D16</f>
        <v>74.191572000000008</v>
      </c>
      <c r="E16" s="37">
        <f>'4. Cost Build'!E16</f>
        <v>91.636200000000002</v>
      </c>
      <c r="F16" s="37">
        <f>'4. Cost Build'!F16</f>
        <v>103.3974144</v>
      </c>
      <c r="G16" s="37">
        <f>'4. Cost Build'!G16</f>
        <v>115.98403199999998</v>
      </c>
      <c r="H16" s="37">
        <f>'4. Cost Build'!H16</f>
        <v>127.95579763200004</v>
      </c>
      <c r="I16" s="37">
        <f>'4. Cost Build'!I16</f>
        <v>144.03990811392001</v>
      </c>
      <c r="J16" s="37">
        <f>'4. Cost Build'!J16</f>
        <v>159.53805835968004</v>
      </c>
      <c r="K16" s="37">
        <f>'4. Cost Build'!K16</f>
        <v>173.32406549568003</v>
      </c>
    </row>
    <row r="17" spans="1:11" x14ac:dyDescent="0.35">
      <c r="A17" s="13" t="s">
        <v>163</v>
      </c>
      <c r="C17" s="37">
        <f>'4. Cost Build'!C22</f>
        <v>130</v>
      </c>
      <c r="D17" s="37">
        <f>'4. Cost Build'!D22</f>
        <v>155</v>
      </c>
      <c r="E17" s="37">
        <f>'4. Cost Build'!E22</f>
        <v>185</v>
      </c>
      <c r="F17" s="37">
        <f>'4. Cost Build'!F22</f>
        <v>210</v>
      </c>
      <c r="G17" s="37">
        <f>'4. Cost Build'!G22</f>
        <v>242</v>
      </c>
      <c r="H17" s="37">
        <f>'4. Cost Build'!H22</f>
        <v>283</v>
      </c>
      <c r="I17" s="37">
        <f>'4. Cost Build'!I22</f>
        <v>328</v>
      </c>
      <c r="J17" s="37">
        <f>'4. Cost Build'!J22</f>
        <v>375</v>
      </c>
      <c r="K17" s="37">
        <f>'4. Cost Build'!K22</f>
        <v>425</v>
      </c>
    </row>
    <row r="18" spans="1:11" x14ac:dyDescent="0.35">
      <c r="A18" s="17" t="s">
        <v>152</v>
      </c>
      <c r="C18" s="39">
        <f t="shared" ref="C18:K18" si="1">C16+C17</f>
        <v>189.02605</v>
      </c>
      <c r="D18" s="39">
        <f t="shared" si="1"/>
        <v>229.19157200000001</v>
      </c>
      <c r="E18" s="39">
        <f t="shared" si="1"/>
        <v>276.63620000000003</v>
      </c>
      <c r="F18" s="39">
        <f t="shared" si="1"/>
        <v>313.3974144</v>
      </c>
      <c r="G18" s="39">
        <f t="shared" si="1"/>
        <v>357.98403199999996</v>
      </c>
      <c r="H18" s="39">
        <f t="shared" si="1"/>
        <v>410.95579763200004</v>
      </c>
      <c r="I18" s="39">
        <f t="shared" si="1"/>
        <v>472.03990811391998</v>
      </c>
      <c r="J18" s="39">
        <f t="shared" si="1"/>
        <v>534.53805835968001</v>
      </c>
      <c r="K18" s="39">
        <f t="shared" si="1"/>
        <v>598.32406549568009</v>
      </c>
    </row>
    <row r="20" spans="1:11" x14ac:dyDescent="0.35">
      <c r="A20" s="43" t="s">
        <v>164</v>
      </c>
      <c r="C20" s="44">
        <f t="shared" ref="C20:K20" si="2">C6-C18</f>
        <v>-27.233049999999992</v>
      </c>
      <c r="D20" s="44">
        <f t="shared" si="2"/>
        <v>-18.634772000000027</v>
      </c>
      <c r="E20" s="44">
        <f t="shared" si="2"/>
        <v>-5.4062000000000694</v>
      </c>
      <c r="F20" s="44">
        <f t="shared" si="2"/>
        <v>12.304505600000027</v>
      </c>
      <c r="G20" s="44">
        <f t="shared" si="2"/>
        <v>45.993408000000045</v>
      </c>
      <c r="H20" s="44">
        <f t="shared" si="2"/>
        <v>79.653536768000038</v>
      </c>
      <c r="I20" s="44">
        <f t="shared" si="2"/>
        <v>113.69755838208005</v>
      </c>
      <c r="J20" s="44">
        <f t="shared" si="2"/>
        <v>151.60767760832016</v>
      </c>
      <c r="K20" s="44">
        <f t="shared" si="2"/>
        <v>195.87832400704019</v>
      </c>
    </row>
    <row r="21" spans="1:11" x14ac:dyDescent="0.35">
      <c r="A21" s="49" t="s">
        <v>165</v>
      </c>
      <c r="C21" s="45">
        <f t="shared" ref="C21:K21" si="3">IFERROR(C20/C6,0)</f>
        <v>-0.16832032288170681</v>
      </c>
      <c r="D21" s="45">
        <f t="shared" si="3"/>
        <v>-8.8502351859450892E-2</v>
      </c>
      <c r="E21" s="45">
        <f t="shared" si="3"/>
        <v>-1.9932160896656233E-2</v>
      </c>
      <c r="F21" s="45">
        <f t="shared" si="3"/>
        <v>3.7778425131789292E-2</v>
      </c>
      <c r="G21" s="45">
        <f t="shared" si="3"/>
        <v>0.11385142695097045</v>
      </c>
      <c r="H21" s="45">
        <f t="shared" si="3"/>
        <v>0.1623563417630727</v>
      </c>
      <c r="I21" s="45">
        <f t="shared" si="3"/>
        <v>0.19411010031890538</v>
      </c>
      <c r="J21" s="45">
        <f t="shared" si="3"/>
        <v>0.22095550502027853</v>
      </c>
      <c r="K21" s="45">
        <f t="shared" si="3"/>
        <v>0.24663527407628036</v>
      </c>
    </row>
    <row r="23" spans="1:11" x14ac:dyDescent="0.35">
      <c r="A23" s="36" t="s">
        <v>94</v>
      </c>
      <c r="C23" s="40">
        <f>'2. Operating Assumptions'!C41</f>
        <v>0.1</v>
      </c>
      <c r="D23" s="40">
        <f>'2. Operating Assumptions'!D41</f>
        <v>0.09</v>
      </c>
      <c r="E23" s="40">
        <f>'2. Operating Assumptions'!E41</f>
        <v>0.08</v>
      </c>
      <c r="F23" s="40">
        <f>'2. Operating Assumptions'!F41</f>
        <v>0.08</v>
      </c>
      <c r="G23" s="40">
        <f>'2. Operating Assumptions'!G41</f>
        <v>7.0000000000000007E-2</v>
      </c>
      <c r="H23" s="40">
        <f>'2. Operating Assumptions'!H41</f>
        <v>7.0000000000000007E-2</v>
      </c>
      <c r="I23" s="40">
        <f>'2. Operating Assumptions'!I41</f>
        <v>7.0000000000000007E-2</v>
      </c>
      <c r="J23" s="40">
        <f>'2. Operating Assumptions'!J41</f>
        <v>0.06</v>
      </c>
      <c r="K23" s="40">
        <f>'2. Operating Assumptions'!K41</f>
        <v>0.06</v>
      </c>
    </row>
    <row r="24" spans="1:11" x14ac:dyDescent="0.35">
      <c r="A24" s="13" t="s">
        <v>166</v>
      </c>
      <c r="C24" s="32">
        <f t="shared" ref="C24:K24" si="4">C6*C23</f>
        <v>16.179300000000001</v>
      </c>
      <c r="D24" s="32">
        <f t="shared" si="4"/>
        <v>18.950111999999997</v>
      </c>
      <c r="E24" s="32">
        <f t="shared" si="4"/>
        <v>21.698399999999996</v>
      </c>
      <c r="F24" s="32">
        <f t="shared" si="4"/>
        <v>26.056153600000002</v>
      </c>
      <c r="G24" s="32">
        <f t="shared" si="4"/>
        <v>28.278420800000003</v>
      </c>
      <c r="H24" s="32">
        <f t="shared" si="4"/>
        <v>34.342653408000011</v>
      </c>
      <c r="I24" s="32">
        <f t="shared" si="4"/>
        <v>41.001622654720009</v>
      </c>
      <c r="J24" s="32">
        <f t="shared" si="4"/>
        <v>41.16874415808001</v>
      </c>
      <c r="K24" s="32">
        <f t="shared" si="4"/>
        <v>47.652143370163216</v>
      </c>
    </row>
    <row r="26" spans="1:11" x14ac:dyDescent="0.35">
      <c r="A26" s="43" t="s">
        <v>167</v>
      </c>
      <c r="C26" s="44">
        <f t="shared" ref="C26:K26" si="5">C20-C24</f>
        <v>-43.412349999999989</v>
      </c>
      <c r="D26" s="44">
        <f t="shared" si="5"/>
        <v>-37.584884000000024</v>
      </c>
      <c r="E26" s="44">
        <f t="shared" si="5"/>
        <v>-27.104600000000065</v>
      </c>
      <c r="F26" s="44">
        <f t="shared" si="5"/>
        <v>-13.751647999999975</v>
      </c>
      <c r="G26" s="44">
        <f t="shared" si="5"/>
        <v>17.714987200000042</v>
      </c>
      <c r="H26" s="44">
        <f t="shared" si="5"/>
        <v>45.310883360000027</v>
      </c>
      <c r="I26" s="44">
        <f t="shared" si="5"/>
        <v>72.695935727360038</v>
      </c>
      <c r="J26" s="44">
        <f t="shared" si="5"/>
        <v>110.43893345024014</v>
      </c>
      <c r="K26" s="44">
        <f t="shared" si="5"/>
        <v>148.22618063687696</v>
      </c>
    </row>
    <row r="27" spans="1:11" x14ac:dyDescent="0.35">
      <c r="A27" s="49" t="s">
        <v>168</v>
      </c>
      <c r="C27" s="45">
        <f t="shared" ref="C27:K27" si="6">IFERROR(C26/C6,0)</f>
        <v>-0.26832032288170682</v>
      </c>
      <c r="D27" s="45">
        <f t="shared" si="6"/>
        <v>-0.17850235185945088</v>
      </c>
      <c r="E27" s="45">
        <f t="shared" si="6"/>
        <v>-9.9932160896656227E-2</v>
      </c>
      <c r="F27" s="45">
        <f t="shared" si="6"/>
        <v>-4.2221574868210703E-2</v>
      </c>
      <c r="G27" s="45">
        <f t="shared" si="6"/>
        <v>4.3851426950970433E-2</v>
      </c>
      <c r="H27" s="45">
        <f t="shared" si="6"/>
        <v>9.2356341763072697E-2</v>
      </c>
      <c r="I27" s="45">
        <f t="shared" si="6"/>
        <v>0.12411010031890538</v>
      </c>
      <c r="J27" s="45">
        <f t="shared" si="6"/>
        <v>0.1609555050202785</v>
      </c>
      <c r="K27" s="45">
        <f t="shared" si="6"/>
        <v>0.18663527407628036</v>
      </c>
    </row>
    <row r="29" spans="1:11" x14ac:dyDescent="0.35">
      <c r="A29" s="36" t="s">
        <v>97</v>
      </c>
      <c r="C29" s="40">
        <f>'2. Operating Assumptions'!C44</f>
        <v>0</v>
      </c>
      <c r="D29" s="40">
        <f>'2. Operating Assumptions'!D44</f>
        <v>0</v>
      </c>
      <c r="E29" s="40">
        <f>'2. Operating Assumptions'!E44</f>
        <v>0</v>
      </c>
      <c r="F29" s="40">
        <f>'2. Operating Assumptions'!F44</f>
        <v>0</v>
      </c>
      <c r="G29" s="40">
        <f>'2. Operating Assumptions'!G44</f>
        <v>0</v>
      </c>
      <c r="H29" s="40">
        <f>'2. Operating Assumptions'!H44</f>
        <v>0.05</v>
      </c>
      <c r="I29" s="40">
        <f>'2. Operating Assumptions'!I44</f>
        <v>0.15</v>
      </c>
      <c r="J29" s="40">
        <f>'2. Operating Assumptions'!J44</f>
        <v>0.22</v>
      </c>
      <c r="K29" s="40">
        <f>'2. Operating Assumptions'!K44</f>
        <v>0.25</v>
      </c>
    </row>
    <row r="30" spans="1:11" x14ac:dyDescent="0.35">
      <c r="A30" s="13" t="s">
        <v>169</v>
      </c>
      <c r="C30" s="32">
        <f t="shared" ref="C30:K30" si="7">MAX(0,C26)*C29</f>
        <v>0</v>
      </c>
      <c r="D30" s="32">
        <f t="shared" si="7"/>
        <v>0</v>
      </c>
      <c r="E30" s="32">
        <f t="shared" si="7"/>
        <v>0</v>
      </c>
      <c r="F30" s="32">
        <f t="shared" si="7"/>
        <v>0</v>
      </c>
      <c r="G30" s="32">
        <f t="shared" si="7"/>
        <v>0</v>
      </c>
      <c r="H30" s="32">
        <f t="shared" si="7"/>
        <v>2.2655441680000012</v>
      </c>
      <c r="I30" s="32">
        <f t="shared" si="7"/>
        <v>10.904390359104005</v>
      </c>
      <c r="J30" s="32">
        <f t="shared" si="7"/>
        <v>24.296565359052831</v>
      </c>
      <c r="K30" s="32">
        <f t="shared" si="7"/>
        <v>37.05654515921924</v>
      </c>
    </row>
    <row r="31" spans="1:11" x14ac:dyDescent="0.35">
      <c r="A31" s="17" t="s">
        <v>170</v>
      </c>
      <c r="C31" s="39">
        <f t="shared" ref="C31:K31" si="8">C26-C30</f>
        <v>-43.412349999999989</v>
      </c>
      <c r="D31" s="39">
        <f t="shared" si="8"/>
        <v>-37.584884000000024</v>
      </c>
      <c r="E31" s="39">
        <f t="shared" si="8"/>
        <v>-27.104600000000065</v>
      </c>
      <c r="F31" s="39">
        <f t="shared" si="8"/>
        <v>-13.751647999999975</v>
      </c>
      <c r="G31" s="39">
        <f t="shared" si="8"/>
        <v>17.714987200000042</v>
      </c>
      <c r="H31" s="39">
        <f t="shared" si="8"/>
        <v>43.045339192000029</v>
      </c>
      <c r="I31" s="39">
        <f t="shared" si="8"/>
        <v>61.791545368256031</v>
      </c>
      <c r="J31" s="39">
        <f t="shared" si="8"/>
        <v>86.142368091187308</v>
      </c>
      <c r="K31" s="39">
        <f t="shared" si="8"/>
        <v>111.16963547765772</v>
      </c>
    </row>
    <row r="33" spans="1:12" ht="21.75" customHeight="1" x14ac:dyDescent="0.35">
      <c r="A33" s="24" t="s">
        <v>171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5" spans="1:12" x14ac:dyDescent="0.35">
      <c r="A35" s="36" t="s">
        <v>172</v>
      </c>
      <c r="C35" s="32">
        <f t="shared" ref="C35:K35" si="9">C31</f>
        <v>-43.412349999999989</v>
      </c>
      <c r="D35" s="32">
        <f t="shared" si="9"/>
        <v>-37.584884000000024</v>
      </c>
      <c r="E35" s="32">
        <f t="shared" si="9"/>
        <v>-27.104600000000065</v>
      </c>
      <c r="F35" s="32">
        <f t="shared" si="9"/>
        <v>-13.751647999999975</v>
      </c>
      <c r="G35" s="32">
        <f t="shared" si="9"/>
        <v>17.714987200000042</v>
      </c>
      <c r="H35" s="32">
        <f t="shared" si="9"/>
        <v>43.045339192000029</v>
      </c>
      <c r="I35" s="32">
        <f t="shared" si="9"/>
        <v>61.791545368256031</v>
      </c>
      <c r="J35" s="32">
        <f t="shared" si="9"/>
        <v>86.142368091187308</v>
      </c>
      <c r="K35" s="32">
        <f t="shared" si="9"/>
        <v>111.16963547765772</v>
      </c>
    </row>
    <row r="36" spans="1:12" x14ac:dyDescent="0.35">
      <c r="A36" s="36" t="s">
        <v>173</v>
      </c>
      <c r="C36" s="32">
        <f t="shared" ref="C36:K36" si="10">C24</f>
        <v>16.179300000000001</v>
      </c>
      <c r="D36" s="32">
        <f t="shared" si="10"/>
        <v>18.950111999999997</v>
      </c>
      <c r="E36" s="32">
        <f t="shared" si="10"/>
        <v>21.698399999999996</v>
      </c>
      <c r="F36" s="32">
        <f t="shared" si="10"/>
        <v>26.056153600000002</v>
      </c>
      <c r="G36" s="32">
        <f t="shared" si="10"/>
        <v>28.278420800000003</v>
      </c>
      <c r="H36" s="32">
        <f t="shared" si="10"/>
        <v>34.342653408000011</v>
      </c>
      <c r="I36" s="32">
        <f t="shared" si="10"/>
        <v>41.001622654720009</v>
      </c>
      <c r="J36" s="32">
        <f t="shared" si="10"/>
        <v>41.16874415808001</v>
      </c>
      <c r="K36" s="32">
        <f t="shared" si="10"/>
        <v>47.652143370163216</v>
      </c>
    </row>
    <row r="37" spans="1:12" x14ac:dyDescent="0.35">
      <c r="A37" s="13" t="s">
        <v>174</v>
      </c>
      <c r="C37" s="32">
        <f>-C6*'2. Operating Assumptions'!C42</f>
        <v>-19.41516</v>
      </c>
      <c r="D37" s="32">
        <f>-D6*'2. Operating Assumptions'!D42</f>
        <v>-21.055679999999999</v>
      </c>
      <c r="E37" s="32">
        <f>-E6*'2. Operating Assumptions'!E42</f>
        <v>-21.698399999999996</v>
      </c>
      <c r="F37" s="32">
        <f>-F6*'2. Operating Assumptions'!F42</f>
        <v>-22.799134400000003</v>
      </c>
      <c r="G37" s="32">
        <f>-G6*'2. Operating Assumptions'!G42</f>
        <v>-24.2386464</v>
      </c>
      <c r="H37" s="32">
        <f>-H6*'2. Operating Assumptions'!H42</f>
        <v>-29.436560064000005</v>
      </c>
      <c r="I37" s="32">
        <f>-I6*'2. Operating Assumptions'!I42</f>
        <v>-29.286873324800002</v>
      </c>
      <c r="J37" s="32">
        <f>-J6*'2. Operating Assumptions'!J42</f>
        <v>-34.307286798400007</v>
      </c>
      <c r="K37" s="32">
        <f>-K6*'2. Operating Assumptions'!K42</f>
        <v>-39.710119475136018</v>
      </c>
    </row>
    <row r="38" spans="1:12" x14ac:dyDescent="0.35">
      <c r="A38" s="13" t="s">
        <v>175</v>
      </c>
      <c r="C38" s="32">
        <f>0</f>
        <v>0</v>
      </c>
      <c r="D38" s="32">
        <f>-(D6-C6)*'2. Operating Assumptions'!D43</f>
        <v>-4.8763799999999975</v>
      </c>
      <c r="E38" s="32">
        <f>-(E6-D6)*'2. Operating Assumptions'!E43</f>
        <v>-6.0673199999999987</v>
      </c>
      <c r="F38" s="32">
        <f>-(F6-E6)*'2. Operating Assumptions'!F43</f>
        <v>-5.4471920000000074</v>
      </c>
      <c r="G38" s="32">
        <f>-(G6-F6)*'2. Operating Assumptions'!G43</f>
        <v>-7.8275519999999972</v>
      </c>
      <c r="H38" s="32">
        <f>-(H6-G6)*'2. Operating Assumptions'!H43</f>
        <v>-8.6631894400000089</v>
      </c>
      <c r="I38" s="32">
        <f>-(I6-H6)*'2. Operating Assumptions'!I43</f>
        <v>-9.5128132095999955</v>
      </c>
      <c r="J38" s="32">
        <f>-(J6-I6)*'2. Operating Assumptions'!J43</f>
        <v>-10.040826947200015</v>
      </c>
      <c r="K38" s="32">
        <f>-(K6-J6)*'2. Operating Assumptions'!K43</f>
        <v>-10.805665353472012</v>
      </c>
    </row>
    <row r="40" spans="1:12" x14ac:dyDescent="0.35">
      <c r="A40" s="43" t="s">
        <v>176</v>
      </c>
      <c r="C40" s="44">
        <f t="shared" ref="C40:K40" si="11">C35+C36+C37+C38</f>
        <v>-46.648209999999992</v>
      </c>
      <c r="D40" s="44">
        <f t="shared" si="11"/>
        <v>-44.566832000000019</v>
      </c>
      <c r="E40" s="44">
        <f t="shared" si="11"/>
        <v>-33.171920000000064</v>
      </c>
      <c r="F40" s="44">
        <f t="shared" si="11"/>
        <v>-15.941820799999984</v>
      </c>
      <c r="G40" s="44">
        <f t="shared" si="11"/>
        <v>13.927209600000047</v>
      </c>
      <c r="H40" s="44">
        <f t="shared" si="11"/>
        <v>39.288243096000031</v>
      </c>
      <c r="I40" s="44">
        <f t="shared" si="11"/>
        <v>63.993481488576037</v>
      </c>
      <c r="J40" s="44">
        <f t="shared" si="11"/>
        <v>82.962998503667293</v>
      </c>
      <c r="K40" s="44">
        <f t="shared" si="11"/>
        <v>108.30599401921292</v>
      </c>
    </row>
    <row r="41" spans="1:12" x14ac:dyDescent="0.35">
      <c r="A41" s="49" t="s">
        <v>177</v>
      </c>
      <c r="C41" s="45">
        <f t="shared" ref="C41:K41" si="12">IFERROR(C40/C6,0)</f>
        <v>-0.28832032288170684</v>
      </c>
      <c r="D41" s="45">
        <f t="shared" si="12"/>
        <v>-0.21166180337087201</v>
      </c>
      <c r="E41" s="45">
        <f t="shared" si="12"/>
        <v>-0.12230181027172536</v>
      </c>
      <c r="F41" s="45">
        <f t="shared" si="12"/>
        <v>-4.8946044898967693E-2</v>
      </c>
      <c r="G41" s="45">
        <f t="shared" si="12"/>
        <v>3.4475216239798059E-2</v>
      </c>
      <c r="H41" s="45">
        <f t="shared" si="12"/>
        <v>8.0080504672925407E-2</v>
      </c>
      <c r="I41" s="45">
        <f t="shared" si="12"/>
        <v>0.10925283962352278</v>
      </c>
      <c r="J41" s="45">
        <f t="shared" si="12"/>
        <v>0.12091162876152661</v>
      </c>
      <c r="K41" s="45">
        <f t="shared" si="12"/>
        <v>0.13637077330757885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L5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40" customWidth="1"/>
    <col min="2" max="2" width="2" customWidth="1"/>
    <col min="3" max="7" width="13" customWidth="1"/>
    <col min="8" max="9" width="14" customWidth="1"/>
  </cols>
  <sheetData>
    <row r="1" spans="1:12" ht="27.75" customHeight="1" x14ac:dyDescent="0.35">
      <c r="A1" s="19" t="s">
        <v>178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179</v>
      </c>
    </row>
    <row r="4" spans="1:12" x14ac:dyDescent="0.35">
      <c r="C4" s="22" t="s">
        <v>60</v>
      </c>
      <c r="D4" s="22" t="s">
        <v>61</v>
      </c>
      <c r="E4" s="22" t="s">
        <v>62</v>
      </c>
      <c r="F4" s="22" t="s">
        <v>63</v>
      </c>
      <c r="G4" s="22" t="s">
        <v>64</v>
      </c>
      <c r="H4" s="22" t="s">
        <v>180</v>
      </c>
    </row>
    <row r="6" spans="1:12" x14ac:dyDescent="0.35">
      <c r="A6" s="36" t="s">
        <v>181</v>
      </c>
      <c r="C6" s="51">
        <f>1-0.5</f>
        <v>0.5</v>
      </c>
      <c r="D6" s="51">
        <f>2-0.5</f>
        <v>1.5</v>
      </c>
      <c r="E6" s="51">
        <f>3-0.5</f>
        <v>2.5</v>
      </c>
      <c r="F6" s="51">
        <f>4-0.5</f>
        <v>3.5</v>
      </c>
      <c r="G6" s="51">
        <f>5-0.5</f>
        <v>4.5</v>
      </c>
    </row>
    <row r="7" spans="1:12" x14ac:dyDescent="0.35">
      <c r="A7" s="36" t="s">
        <v>182</v>
      </c>
      <c r="C7" s="45">
        <f>1/((1+'2. Operating Assumptions'!C48)^C6)</f>
        <v>0.94072086838359736</v>
      </c>
      <c r="D7" s="45">
        <f>1/((1+'2. Operating Assumptions'!C48)^D6)</f>
        <v>0.83249634370229864</v>
      </c>
      <c r="E7" s="45">
        <f>1/((1+'2. Operating Assumptions'!C48)^E6)</f>
        <v>0.73672242805513155</v>
      </c>
      <c r="F7" s="45">
        <f>1/((1+'2. Operating Assumptions'!C48)^F6)</f>
        <v>0.65196675049126696</v>
      </c>
      <c r="G7" s="45">
        <f>1/((1+'2. Operating Assumptions'!C48)^G6)</f>
        <v>0.57696172609846641</v>
      </c>
    </row>
    <row r="9" spans="1:12" ht="21.75" customHeight="1" x14ac:dyDescent="0.35">
      <c r="A9" s="24" t="s">
        <v>183</v>
      </c>
      <c r="B9" s="25"/>
      <c r="C9" s="25"/>
      <c r="D9" s="25"/>
      <c r="E9" s="25"/>
      <c r="F9" s="25"/>
      <c r="G9" s="25"/>
      <c r="H9" s="25"/>
      <c r="I9" s="25"/>
      <c r="J9" s="25"/>
    </row>
    <row r="11" spans="1:12" x14ac:dyDescent="0.35">
      <c r="A11" s="17" t="s">
        <v>184</v>
      </c>
      <c r="C11" s="48">
        <f>'5. P&amp;L Forecast'!G40</f>
        <v>13.927209600000047</v>
      </c>
      <c r="D11" s="48">
        <f>'5. P&amp;L Forecast'!H40</f>
        <v>39.288243096000031</v>
      </c>
      <c r="E11" s="48">
        <f>'5. P&amp;L Forecast'!I40</f>
        <v>63.993481488576037</v>
      </c>
      <c r="F11" s="48">
        <f>'5. P&amp;L Forecast'!J40</f>
        <v>82.962998503667293</v>
      </c>
      <c r="G11" s="48">
        <f>'5. P&amp;L Forecast'!K40</f>
        <v>108.30599401921292</v>
      </c>
    </row>
    <row r="12" spans="1:12" x14ac:dyDescent="0.35">
      <c r="A12" s="17" t="s">
        <v>185</v>
      </c>
      <c r="C12" s="39">
        <f>C11*C7</f>
        <v>13.101616709072418</v>
      </c>
      <c r="D12" s="39">
        <f>D11*D7</f>
        <v>32.707318727907101</v>
      </c>
      <c r="E12" s="39">
        <f>E11*E7</f>
        <v>47.145433061964852</v>
      </c>
      <c r="F12" s="39">
        <f>F11*F7</f>
        <v>54.089116545447808</v>
      </c>
      <c r="G12" s="39">
        <f>G11*G7</f>
        <v>62.488413256135267</v>
      </c>
    </row>
    <row r="14" spans="1:12" x14ac:dyDescent="0.35">
      <c r="A14" s="13" t="s">
        <v>186</v>
      </c>
      <c r="H14" s="32">
        <f>G11*(1+'2. Operating Assumptions'!C49)</f>
        <v>112.63823377998143</v>
      </c>
    </row>
    <row r="15" spans="1:12" x14ac:dyDescent="0.35">
      <c r="A15" s="17" t="s">
        <v>187</v>
      </c>
      <c r="H15" s="39">
        <f>H14/('2. Operating Assumptions'!C48-'2. Operating Assumptions'!C49)</f>
        <v>1251.5359308886827</v>
      </c>
    </row>
    <row r="16" spans="1:12" x14ac:dyDescent="0.35">
      <c r="A16" s="17" t="s">
        <v>188</v>
      </c>
      <c r="H16" s="39">
        <f>H15*G7</f>
        <v>722.08833095978537</v>
      </c>
    </row>
    <row r="19" spans="1:10" ht="21.75" customHeight="1" x14ac:dyDescent="0.35">
      <c r="A19" s="24" t="s">
        <v>189</v>
      </c>
      <c r="B19" s="25"/>
      <c r="C19" s="25"/>
      <c r="D19" s="25"/>
      <c r="E19" s="25"/>
      <c r="F19" s="25"/>
      <c r="G19" s="25"/>
      <c r="H19" s="25"/>
      <c r="I19" s="25"/>
      <c r="J19" s="25"/>
    </row>
    <row r="21" spans="1:10" x14ac:dyDescent="0.35">
      <c r="A21" s="13" t="s">
        <v>190</v>
      </c>
      <c r="C21" s="32">
        <f>SUM(C12:G12)</f>
        <v>209.53189830052744</v>
      </c>
    </row>
    <row r="22" spans="1:10" x14ac:dyDescent="0.35">
      <c r="A22" s="13" t="s">
        <v>188</v>
      </c>
      <c r="C22" s="32">
        <f>H16</f>
        <v>722.08833095978537</v>
      </c>
    </row>
    <row r="23" spans="1:10" x14ac:dyDescent="0.35">
      <c r="A23" s="43" t="s">
        <v>191</v>
      </c>
      <c r="C23" s="44">
        <f>C21+C22</f>
        <v>931.62022926031284</v>
      </c>
    </row>
    <row r="25" spans="1:10" x14ac:dyDescent="0.35">
      <c r="A25" s="36" t="s">
        <v>192</v>
      </c>
      <c r="C25" s="45">
        <f>C21/C23</f>
        <v>0.22491128006837233</v>
      </c>
    </row>
    <row r="26" spans="1:10" x14ac:dyDescent="0.35">
      <c r="A26" s="36" t="s">
        <v>193</v>
      </c>
      <c r="C26" s="45">
        <f>C22/C23</f>
        <v>0.77508871993162765</v>
      </c>
    </row>
    <row r="28" spans="1:10" x14ac:dyDescent="0.35">
      <c r="A28" s="13" t="s">
        <v>194</v>
      </c>
      <c r="C28" s="34">
        <v>-50</v>
      </c>
    </row>
    <row r="29" spans="1:10" x14ac:dyDescent="0.35">
      <c r="A29" s="43" t="s">
        <v>195</v>
      </c>
      <c r="C29" s="44">
        <f>C23-C28</f>
        <v>981.62022926031284</v>
      </c>
    </row>
    <row r="31" spans="1:10" ht="21.75" customHeight="1" x14ac:dyDescent="0.35">
      <c r="A31" s="24" t="s">
        <v>196</v>
      </c>
      <c r="B31" s="25"/>
      <c r="C31" s="25"/>
      <c r="D31" s="25"/>
      <c r="E31" s="25"/>
      <c r="F31" s="25"/>
      <c r="G31" s="25"/>
      <c r="H31" s="25"/>
      <c r="I31" s="25"/>
      <c r="J31" s="25"/>
    </row>
    <row r="33" spans="1:10" x14ac:dyDescent="0.35">
      <c r="A33" s="13" t="s">
        <v>197</v>
      </c>
      <c r="C33" s="52">
        <f>C23/'5. P&amp;L Forecast'!F6</f>
        <v>2.860346138764895</v>
      </c>
    </row>
    <row r="34" spans="1:10" x14ac:dyDescent="0.35">
      <c r="A34" s="13" t="s">
        <v>198</v>
      </c>
      <c r="C34" s="52">
        <f>C23/'5. P&amp;L Forecast'!G6</f>
        <v>2.3061194438489259</v>
      </c>
    </row>
    <row r="35" spans="1:10" x14ac:dyDescent="0.35">
      <c r="A35" s="13" t="s">
        <v>199</v>
      </c>
      <c r="C35" s="52">
        <f>C23/MAX(1,'5. P&amp;L Forecast'!H20)</f>
        <v>11.695905380495061</v>
      </c>
    </row>
    <row r="38" spans="1:10" ht="21.75" customHeight="1" x14ac:dyDescent="0.35">
      <c r="A38" s="24" t="s">
        <v>200</v>
      </c>
      <c r="B38" s="25"/>
      <c r="C38" s="25"/>
      <c r="D38" s="25"/>
      <c r="E38" s="25"/>
      <c r="F38" s="25"/>
      <c r="G38" s="25"/>
      <c r="H38" s="25"/>
      <c r="I38" s="25"/>
      <c r="J38" s="25"/>
    </row>
    <row r="40" spans="1:10" x14ac:dyDescent="0.35">
      <c r="A40" s="13" t="s">
        <v>201</v>
      </c>
      <c r="C40" s="34">
        <v>160</v>
      </c>
    </row>
    <row r="41" spans="1:10" x14ac:dyDescent="0.35">
      <c r="A41" s="13" t="s">
        <v>202</v>
      </c>
      <c r="C41" s="34">
        <v>120</v>
      </c>
    </row>
    <row r="42" spans="1:10" x14ac:dyDescent="0.35">
      <c r="A42" s="13" t="s">
        <v>203</v>
      </c>
      <c r="C42" s="30">
        <v>0.5</v>
      </c>
    </row>
    <row r="43" spans="1:10" x14ac:dyDescent="0.35">
      <c r="A43" s="17" t="s">
        <v>204</v>
      </c>
      <c r="C43" s="39">
        <f>C40+C41*C42</f>
        <v>220</v>
      </c>
    </row>
    <row r="44" spans="1:10" x14ac:dyDescent="0.35">
      <c r="A44" s="13" t="s">
        <v>205</v>
      </c>
      <c r="C44" s="32">
        <f>SUMPRODUCT({0,0.3,0.65,0.9,1}*C43*(1/((1+'2. Operating Assumptions'!C48)^{0.5,1.5,2.5,3.5,4.5})))</f>
        <v>416.31706223516903</v>
      </c>
    </row>
    <row r="45" spans="1:10" x14ac:dyDescent="0.35">
      <c r="A45" s="13" t="s">
        <v>206</v>
      </c>
      <c r="C45" s="32">
        <f>C43*0.75/('2. Operating Assumptions'!C48-'2. Operating Assumptions'!C49)*1/((1+'2. Operating Assumptions'!C48)^4.5)</f>
        <v>1057.7631645138551</v>
      </c>
    </row>
    <row r="46" spans="1:10" x14ac:dyDescent="0.35">
      <c r="A46" s="17" t="s">
        <v>207</v>
      </c>
      <c r="C46" s="39">
        <f>C44+C45</f>
        <v>1474.0802267490242</v>
      </c>
    </row>
    <row r="48" spans="1:10" x14ac:dyDescent="0.35">
      <c r="A48" s="13" t="s">
        <v>208</v>
      </c>
      <c r="C48" s="32">
        <f>C29</f>
        <v>981.62022926031284</v>
      </c>
    </row>
    <row r="49" spans="1:3" x14ac:dyDescent="0.35">
      <c r="A49" s="13" t="s">
        <v>209</v>
      </c>
      <c r="C49" s="32">
        <f>C46</f>
        <v>1474.0802267490242</v>
      </c>
    </row>
    <row r="50" spans="1:3" x14ac:dyDescent="0.35">
      <c r="A50" s="13" t="s">
        <v>210</v>
      </c>
      <c r="C50" s="32">
        <f>-C49*'2. Operating Assumptions'!C53</f>
        <v>-368.52005668725604</v>
      </c>
    </row>
    <row r="51" spans="1:3" x14ac:dyDescent="0.35">
      <c r="A51" s="13" t="s">
        <v>211</v>
      </c>
      <c r="C51" s="32">
        <f>C48*'2. Operating Assumptions'!C52</f>
        <v>98.162022926031284</v>
      </c>
    </row>
    <row r="52" spans="1:3" x14ac:dyDescent="0.35">
      <c r="A52" s="43" t="s">
        <v>212</v>
      </c>
      <c r="C52" s="44">
        <f>C48+C49+C50+C51</f>
        <v>2185.3424222481121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L39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15" width="13" customWidth="1"/>
  </cols>
  <sheetData>
    <row r="1" spans="1:12" ht="27.75" customHeight="1" x14ac:dyDescent="0.35">
      <c r="A1" s="19" t="s">
        <v>213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214</v>
      </c>
    </row>
    <row r="4" spans="1:12" ht="31.5" customHeight="1" x14ac:dyDescent="0.35">
      <c r="A4" s="23" t="s">
        <v>215</v>
      </c>
      <c r="B4" s="23" t="s">
        <v>216</v>
      </c>
      <c r="C4" s="23" t="s">
        <v>217</v>
      </c>
      <c r="D4" s="23" t="s">
        <v>218</v>
      </c>
      <c r="E4" s="23" t="s">
        <v>219</v>
      </c>
      <c r="F4" s="23" t="s">
        <v>220</v>
      </c>
      <c r="G4" s="23" t="s">
        <v>221</v>
      </c>
      <c r="H4" s="23" t="s">
        <v>165</v>
      </c>
      <c r="I4" s="23" t="s">
        <v>222</v>
      </c>
      <c r="J4" s="23" t="s">
        <v>223</v>
      </c>
      <c r="K4" s="23" t="s">
        <v>224</v>
      </c>
    </row>
    <row r="5" spans="1:12" x14ac:dyDescent="0.35">
      <c r="A5" s="53" t="s">
        <v>225</v>
      </c>
      <c r="B5" s="15" t="s">
        <v>226</v>
      </c>
      <c r="C5" s="26">
        <v>2900</v>
      </c>
      <c r="D5" s="26">
        <v>2800</v>
      </c>
      <c r="E5" s="26">
        <v>280</v>
      </c>
      <c r="F5" s="26">
        <v>35</v>
      </c>
      <c r="G5" s="30">
        <v>0.28000000000000003</v>
      </c>
      <c r="H5" s="30">
        <v>0.13</v>
      </c>
      <c r="I5" s="52">
        <f t="shared" ref="I5:I14" si="0">D5/E5</f>
        <v>10</v>
      </c>
      <c r="J5" s="52">
        <f t="shared" ref="J5:J14" si="1">IFERROR(D5/F5,0)</f>
        <v>80</v>
      </c>
      <c r="K5" s="54" t="s">
        <v>227</v>
      </c>
    </row>
    <row r="6" spans="1:12" x14ac:dyDescent="0.35">
      <c r="A6" s="53" t="s">
        <v>228</v>
      </c>
      <c r="B6" s="15" t="s">
        <v>226</v>
      </c>
      <c r="C6" s="26">
        <v>7200</v>
      </c>
      <c r="D6" s="26">
        <v>6800</v>
      </c>
      <c r="E6" s="26">
        <v>800</v>
      </c>
      <c r="F6" s="26">
        <v>80</v>
      </c>
      <c r="G6" s="30">
        <v>0.1</v>
      </c>
      <c r="H6" s="30">
        <v>0.1</v>
      </c>
      <c r="I6" s="52">
        <f t="shared" si="0"/>
        <v>8.5</v>
      </c>
      <c r="J6" s="52">
        <f t="shared" si="1"/>
        <v>85</v>
      </c>
      <c r="K6" s="54" t="s">
        <v>229</v>
      </c>
    </row>
    <row r="7" spans="1:12" x14ac:dyDescent="0.35">
      <c r="A7" s="53" t="s">
        <v>230</v>
      </c>
      <c r="B7" s="15" t="s">
        <v>226</v>
      </c>
      <c r="C7" s="26">
        <v>7500</v>
      </c>
      <c r="D7" s="26">
        <v>7500</v>
      </c>
      <c r="E7" s="26">
        <v>380</v>
      </c>
      <c r="F7" s="26">
        <v>30</v>
      </c>
      <c r="G7" s="30">
        <v>0.4</v>
      </c>
      <c r="H7" s="30">
        <v>0.08</v>
      </c>
      <c r="I7" s="52">
        <f t="shared" si="0"/>
        <v>19.736842105263158</v>
      </c>
      <c r="J7" s="52">
        <f t="shared" si="1"/>
        <v>250</v>
      </c>
      <c r="K7" s="54" t="s">
        <v>231</v>
      </c>
    </row>
    <row r="8" spans="1:12" x14ac:dyDescent="0.35">
      <c r="A8" s="53" t="s">
        <v>232</v>
      </c>
      <c r="B8" s="15" t="s">
        <v>226</v>
      </c>
      <c r="C8" s="26">
        <v>700</v>
      </c>
      <c r="D8" s="26">
        <v>650</v>
      </c>
      <c r="E8" s="26">
        <v>130</v>
      </c>
      <c r="F8" s="26">
        <v>13</v>
      </c>
      <c r="G8" s="30">
        <v>0.5</v>
      </c>
      <c r="H8" s="30">
        <v>0.1</v>
      </c>
      <c r="I8" s="52">
        <f t="shared" si="0"/>
        <v>5</v>
      </c>
      <c r="J8" s="52">
        <f t="shared" si="1"/>
        <v>50</v>
      </c>
      <c r="K8" s="54" t="s">
        <v>233</v>
      </c>
    </row>
    <row r="9" spans="1:12" x14ac:dyDescent="0.35">
      <c r="A9" s="53" t="s">
        <v>234</v>
      </c>
      <c r="B9" s="15" t="s">
        <v>226</v>
      </c>
      <c r="C9" s="26">
        <v>200</v>
      </c>
      <c r="D9" s="26">
        <v>180</v>
      </c>
      <c r="E9" s="26">
        <v>85</v>
      </c>
      <c r="F9" s="26">
        <v>4</v>
      </c>
      <c r="G9" s="30">
        <v>0.15</v>
      </c>
      <c r="H9" s="30">
        <v>0.05</v>
      </c>
      <c r="I9" s="52">
        <f t="shared" si="0"/>
        <v>2.1176470588235294</v>
      </c>
      <c r="J9" s="52">
        <f t="shared" si="1"/>
        <v>45</v>
      </c>
      <c r="K9" s="54" t="s">
        <v>235</v>
      </c>
    </row>
    <row r="10" spans="1:12" x14ac:dyDescent="0.35">
      <c r="A10" s="53" t="s">
        <v>236</v>
      </c>
      <c r="B10" s="15" t="s">
        <v>237</v>
      </c>
      <c r="C10" s="26">
        <v>4200</v>
      </c>
      <c r="D10" s="26">
        <v>8500</v>
      </c>
      <c r="E10" s="26">
        <v>4800</v>
      </c>
      <c r="F10" s="26">
        <v>1100</v>
      </c>
      <c r="G10" s="30">
        <v>0.04</v>
      </c>
      <c r="H10" s="30">
        <v>0.23</v>
      </c>
      <c r="I10" s="52">
        <f t="shared" si="0"/>
        <v>1.7708333333333333</v>
      </c>
      <c r="J10" s="52">
        <f t="shared" si="1"/>
        <v>7.7272727272727275</v>
      </c>
      <c r="K10" s="54" t="s">
        <v>238</v>
      </c>
    </row>
    <row r="11" spans="1:12" x14ac:dyDescent="0.35">
      <c r="A11" s="53" t="s">
        <v>239</v>
      </c>
      <c r="B11" s="15" t="s">
        <v>237</v>
      </c>
      <c r="C11" s="26">
        <v>45000</v>
      </c>
      <c r="D11" s="26">
        <v>42000</v>
      </c>
      <c r="E11" s="26">
        <v>2400</v>
      </c>
      <c r="F11" s="26">
        <v>1100</v>
      </c>
      <c r="G11" s="30">
        <v>0.22</v>
      </c>
      <c r="H11" s="30">
        <v>0.46</v>
      </c>
      <c r="I11" s="52">
        <f t="shared" si="0"/>
        <v>17.5</v>
      </c>
      <c r="J11" s="52">
        <f t="shared" si="1"/>
        <v>38.18181818181818</v>
      </c>
      <c r="K11" s="54" t="s">
        <v>240</v>
      </c>
    </row>
    <row r="12" spans="1:12" x14ac:dyDescent="0.35">
      <c r="A12" s="53" t="s">
        <v>241</v>
      </c>
      <c r="B12" s="15" t="s">
        <v>242</v>
      </c>
      <c r="C12" s="26">
        <v>50000</v>
      </c>
      <c r="D12" s="26">
        <v>52000</v>
      </c>
      <c r="E12" s="26">
        <v>24500</v>
      </c>
      <c r="F12" s="26">
        <v>1800</v>
      </c>
      <c r="G12" s="30">
        <v>0.1</v>
      </c>
      <c r="H12" s="30">
        <v>7.0000000000000007E-2</v>
      </c>
      <c r="I12" s="52">
        <f t="shared" si="0"/>
        <v>2.1224489795918369</v>
      </c>
      <c r="J12" s="52">
        <f t="shared" si="1"/>
        <v>28.888888888888889</v>
      </c>
      <c r="K12" s="54" t="s">
        <v>243</v>
      </c>
    </row>
    <row r="13" spans="1:12" x14ac:dyDescent="0.35">
      <c r="A13" s="53" t="s">
        <v>244</v>
      </c>
      <c r="B13" s="15" t="s">
        <v>242</v>
      </c>
      <c r="C13" s="26">
        <v>100000</v>
      </c>
      <c r="D13" s="26">
        <v>128000</v>
      </c>
      <c r="E13" s="26">
        <v>21000</v>
      </c>
      <c r="F13" s="26">
        <v>8500</v>
      </c>
      <c r="G13" s="30">
        <v>7.0000000000000007E-2</v>
      </c>
      <c r="H13" s="30">
        <v>0.4</v>
      </c>
      <c r="I13" s="52">
        <f t="shared" si="0"/>
        <v>6.0952380952380949</v>
      </c>
      <c r="J13" s="52">
        <f t="shared" si="1"/>
        <v>15.058823529411764</v>
      </c>
      <c r="K13" s="54" t="s">
        <v>245</v>
      </c>
    </row>
    <row r="14" spans="1:12" x14ac:dyDescent="0.35">
      <c r="A14" s="53" t="s">
        <v>246</v>
      </c>
      <c r="B14" s="15" t="s">
        <v>242</v>
      </c>
      <c r="C14" s="26">
        <v>27000</v>
      </c>
      <c r="D14" s="26">
        <v>38000</v>
      </c>
      <c r="E14" s="26">
        <v>10500</v>
      </c>
      <c r="F14" s="26">
        <v>4500</v>
      </c>
      <c r="G14" s="30">
        <v>0.05</v>
      </c>
      <c r="H14" s="30">
        <v>0.43</v>
      </c>
      <c r="I14" s="52">
        <f t="shared" si="0"/>
        <v>3.6190476190476191</v>
      </c>
      <c r="J14" s="52">
        <f t="shared" si="1"/>
        <v>8.4444444444444446</v>
      </c>
      <c r="K14" s="54" t="s">
        <v>247</v>
      </c>
    </row>
    <row r="16" spans="1:12" x14ac:dyDescent="0.35">
      <c r="A16" s="55" t="s">
        <v>248</v>
      </c>
    </row>
    <row r="17" spans="1:11" x14ac:dyDescent="0.35">
      <c r="A17" s="17" t="s">
        <v>249</v>
      </c>
      <c r="G17" s="56">
        <f>AVERAGE(G5:G14)</f>
        <v>0.191</v>
      </c>
      <c r="H17" s="56">
        <f>AVERAGE(H5:H14)</f>
        <v>0.20500000000000002</v>
      </c>
      <c r="I17" s="57">
        <f>AVERAGE(I5:I14)</f>
        <v>7.6462057191297585</v>
      </c>
      <c r="J17" s="57">
        <f>AVERAGE(J5:J14)</f>
        <v>60.830124777183599</v>
      </c>
    </row>
    <row r="18" spans="1:11" x14ac:dyDescent="0.35">
      <c r="A18" s="17" t="s">
        <v>250</v>
      </c>
      <c r="G18" s="56">
        <f>MEDIAN(G5:G14)</f>
        <v>0.125</v>
      </c>
      <c r="H18" s="56">
        <f>MEDIAN(H5:H14)</f>
        <v>0.115</v>
      </c>
      <c r="I18" s="57">
        <f>MEDIAN(I5:I14)</f>
        <v>5.5476190476190474</v>
      </c>
      <c r="J18" s="57">
        <f>MEDIAN(J5:J14)</f>
        <v>41.590909090909093</v>
      </c>
    </row>
    <row r="19" spans="1:11" x14ac:dyDescent="0.35">
      <c r="A19" s="17" t="s">
        <v>251</v>
      </c>
      <c r="G19" s="45">
        <f>MIN(G5:G14)</f>
        <v>0.04</v>
      </c>
      <c r="H19" s="45">
        <f>MIN(H5:H14)</f>
        <v>0.05</v>
      </c>
      <c r="I19" s="52">
        <f>MIN(I5:I14)</f>
        <v>1.7708333333333333</v>
      </c>
      <c r="J19" s="52">
        <f>MIN(J5:J14)</f>
        <v>7.7272727272727275</v>
      </c>
    </row>
    <row r="20" spans="1:11" x14ac:dyDescent="0.35">
      <c r="A20" s="17" t="s">
        <v>252</v>
      </c>
      <c r="G20" s="45">
        <f>MAX(G5:G14)</f>
        <v>0.5</v>
      </c>
      <c r="H20" s="45">
        <f>MAX(H5:H14)</f>
        <v>0.46</v>
      </c>
      <c r="I20" s="52">
        <f>MAX(I5:I14)</f>
        <v>19.736842105263158</v>
      </c>
      <c r="J20" s="52">
        <f>MAX(J5:J14)</f>
        <v>250</v>
      </c>
    </row>
    <row r="21" spans="1:11" x14ac:dyDescent="0.35">
      <c r="A21" s="17" t="s">
        <v>253</v>
      </c>
      <c r="G21" s="45">
        <f>QUARTILE(G5:G14,1)</f>
        <v>7.7500000000000013E-2</v>
      </c>
      <c r="H21" s="45">
        <f>QUARTILE(H5:H14,1)</f>
        <v>8.5000000000000006E-2</v>
      </c>
      <c r="I21" s="52">
        <f>QUARTILE(I5:I14,1)</f>
        <v>2.4965986394557822</v>
      </c>
      <c r="J21" s="52">
        <f>QUARTILE(J5:J14,1)</f>
        <v>18.516339869281047</v>
      </c>
    </row>
    <row r="22" spans="1:11" x14ac:dyDescent="0.35">
      <c r="A22" s="17" t="s">
        <v>254</v>
      </c>
      <c r="G22" s="45">
        <f>QUARTILE(G5:G14,3)</f>
        <v>0.26500000000000001</v>
      </c>
      <c r="H22" s="45">
        <f>QUARTILE(H5:H14,3)</f>
        <v>0.35750000000000004</v>
      </c>
      <c r="I22" s="52">
        <f>QUARTILE(I5:I14,3)</f>
        <v>9.625</v>
      </c>
      <c r="J22" s="52">
        <f>QUARTILE(J5:J14,3)</f>
        <v>72.5</v>
      </c>
    </row>
    <row r="24" spans="1:11" x14ac:dyDescent="0.35">
      <c r="A24" s="55" t="s">
        <v>255</v>
      </c>
    </row>
    <row r="25" spans="1:11" x14ac:dyDescent="0.35">
      <c r="A25" s="17" t="s">
        <v>249</v>
      </c>
      <c r="G25" s="56">
        <f>AVERAGE(G5:G9)</f>
        <v>0.28599999999999998</v>
      </c>
      <c r="H25" s="56">
        <f>AVERAGE(H5:H9)</f>
        <v>9.1999999999999998E-2</v>
      </c>
      <c r="I25" s="57">
        <f>AVERAGE(I5:I9)</f>
        <v>9.0708978328173373</v>
      </c>
      <c r="J25" s="57">
        <f>AVERAGE(J5:J9)</f>
        <v>102</v>
      </c>
    </row>
    <row r="26" spans="1:11" x14ac:dyDescent="0.35">
      <c r="A26" s="17" t="s">
        <v>250</v>
      </c>
      <c r="G26" s="56">
        <f>MEDIAN(G5:G9)</f>
        <v>0.28000000000000003</v>
      </c>
      <c r="H26" s="56">
        <f>MEDIAN(H5:H9)</f>
        <v>0.1</v>
      </c>
      <c r="I26" s="57">
        <f>MEDIAN(I5:I9)</f>
        <v>8.5</v>
      </c>
      <c r="J26" s="57">
        <f>MEDIAN(J5:J9)</f>
        <v>80</v>
      </c>
    </row>
    <row r="28" spans="1:11" ht="21.75" customHeight="1" x14ac:dyDescent="0.35">
      <c r="A28" s="24" t="s">
        <v>256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30" spans="1:11" x14ac:dyDescent="0.35">
      <c r="A30" s="13" t="s">
        <v>257</v>
      </c>
      <c r="E30" s="37">
        <f>'5. P&amp;L Forecast'!F6</f>
        <v>325.70192000000003</v>
      </c>
    </row>
    <row r="31" spans="1:11" x14ac:dyDescent="0.35">
      <c r="A31" s="13" t="s">
        <v>258</v>
      </c>
      <c r="E31" s="37">
        <f>'5. P&amp;L Forecast'!G6</f>
        <v>403.97744</v>
      </c>
    </row>
    <row r="33" spans="1:11" x14ac:dyDescent="0.35">
      <c r="A33" s="17" t="s">
        <v>259</v>
      </c>
      <c r="J33" s="58" t="s">
        <v>260</v>
      </c>
      <c r="K33" s="58" t="s">
        <v>261</v>
      </c>
    </row>
    <row r="34" spans="1:11" x14ac:dyDescent="0.35">
      <c r="A34" s="59" t="s">
        <v>262</v>
      </c>
      <c r="I34" s="52">
        <f>I26*0.5</f>
        <v>4.25</v>
      </c>
      <c r="J34" s="39">
        <f>I34*E30</f>
        <v>1384.2331600000002</v>
      </c>
      <c r="K34" s="39">
        <f>I34*E31</f>
        <v>1716.9041199999999</v>
      </c>
    </row>
    <row r="35" spans="1:11" x14ac:dyDescent="0.35">
      <c r="A35" s="59" t="s">
        <v>263</v>
      </c>
      <c r="I35" s="52">
        <f>I26*0.6</f>
        <v>5.0999999999999996</v>
      </c>
      <c r="J35" s="39">
        <f>I35*E30</f>
        <v>1661.079792</v>
      </c>
      <c r="K35" s="39">
        <f>I35*E31</f>
        <v>2060.284944</v>
      </c>
    </row>
    <row r="36" spans="1:11" x14ac:dyDescent="0.35">
      <c r="A36" s="59" t="s">
        <v>264</v>
      </c>
      <c r="I36" s="52">
        <f>I26*0.7</f>
        <v>5.9499999999999993</v>
      </c>
      <c r="J36" s="39">
        <f>I36*E30</f>
        <v>1937.926424</v>
      </c>
      <c r="K36" s="39">
        <f>I36*E31</f>
        <v>2403.6657679999998</v>
      </c>
    </row>
    <row r="37" spans="1:11" x14ac:dyDescent="0.35">
      <c r="A37" s="59" t="s">
        <v>265</v>
      </c>
      <c r="I37" s="52">
        <f>I26*0.85</f>
        <v>7.2249999999999996</v>
      </c>
      <c r="J37" s="39">
        <f>I37*E30</f>
        <v>2353.1963719999999</v>
      </c>
      <c r="K37" s="39">
        <f>I37*E31</f>
        <v>2918.7370040000001</v>
      </c>
    </row>
    <row r="39" spans="1:11" x14ac:dyDescent="0.35">
      <c r="A39" s="60" t="s">
        <v>266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L32"/>
  <sheetViews>
    <sheetView showGridLines="0" zoomScaleNormal="100" workbookViewId="0"/>
  </sheetViews>
  <sheetFormatPr defaultColWidth="8.6328125" defaultRowHeight="14.5" x14ac:dyDescent="0.35"/>
  <cols>
    <col min="1" max="3" width="20" customWidth="1"/>
    <col min="4" max="9" width="13" customWidth="1"/>
    <col min="10" max="10" width="35" customWidth="1"/>
  </cols>
  <sheetData>
    <row r="1" spans="1:12" ht="27.75" customHeight="1" x14ac:dyDescent="0.35">
      <c r="A1" s="19" t="s">
        <v>267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268</v>
      </c>
    </row>
    <row r="4" spans="1:12" ht="31.5" customHeight="1" x14ac:dyDescent="0.35">
      <c r="A4" s="23" t="s">
        <v>269</v>
      </c>
      <c r="B4" s="23" t="s">
        <v>270</v>
      </c>
      <c r="C4" s="23" t="s">
        <v>271</v>
      </c>
      <c r="D4" s="23" t="s">
        <v>272</v>
      </c>
      <c r="E4" s="23" t="s">
        <v>273</v>
      </c>
      <c r="F4" s="23" t="s">
        <v>274</v>
      </c>
      <c r="G4" s="23" t="s">
        <v>222</v>
      </c>
      <c r="H4" s="23" t="s">
        <v>223</v>
      </c>
      <c r="I4" s="23" t="s">
        <v>216</v>
      </c>
      <c r="J4" s="23" t="s">
        <v>224</v>
      </c>
    </row>
    <row r="5" spans="1:12" x14ac:dyDescent="0.35">
      <c r="A5" s="61">
        <v>2025</v>
      </c>
      <c r="B5" s="15" t="s">
        <v>225</v>
      </c>
      <c r="C5" s="15" t="s">
        <v>275</v>
      </c>
      <c r="D5" s="26">
        <v>50</v>
      </c>
      <c r="E5" s="26">
        <v>40</v>
      </c>
      <c r="F5" s="26">
        <v>2</v>
      </c>
      <c r="G5" s="52">
        <f t="shared" ref="G5:G14" si="0">IFERROR(D5/E5,0)</f>
        <v>1.25</v>
      </c>
      <c r="H5" s="52">
        <f t="shared" ref="H5:H14" si="1">IFERROR(D5/F5,0)</f>
        <v>25</v>
      </c>
      <c r="I5" s="15" t="s">
        <v>226</v>
      </c>
      <c r="J5" s="54" t="s">
        <v>276</v>
      </c>
    </row>
    <row r="6" spans="1:12" x14ac:dyDescent="0.35">
      <c r="A6" s="61">
        <v>2024</v>
      </c>
      <c r="B6" s="15" t="s">
        <v>277</v>
      </c>
      <c r="C6" s="15" t="s">
        <v>278</v>
      </c>
      <c r="D6" s="26">
        <v>80</v>
      </c>
      <c r="E6" s="26">
        <v>35</v>
      </c>
      <c r="F6" s="26">
        <v>1</v>
      </c>
      <c r="G6" s="52">
        <f t="shared" si="0"/>
        <v>2.2857142857142856</v>
      </c>
      <c r="H6" s="52">
        <f t="shared" si="1"/>
        <v>80</v>
      </c>
      <c r="I6" s="15" t="s">
        <v>226</v>
      </c>
      <c r="J6" s="54" t="s">
        <v>279</v>
      </c>
    </row>
    <row r="7" spans="1:12" x14ac:dyDescent="0.35">
      <c r="A7" s="61">
        <v>2024</v>
      </c>
      <c r="B7" s="15" t="s">
        <v>280</v>
      </c>
      <c r="C7" s="15" t="s">
        <v>281</v>
      </c>
      <c r="D7" s="26">
        <v>120</v>
      </c>
      <c r="E7" s="26">
        <v>45</v>
      </c>
      <c r="F7" s="26">
        <v>2</v>
      </c>
      <c r="G7" s="52">
        <f t="shared" si="0"/>
        <v>2.6666666666666665</v>
      </c>
      <c r="H7" s="52">
        <f t="shared" si="1"/>
        <v>60</v>
      </c>
      <c r="I7" s="15" t="s">
        <v>226</v>
      </c>
      <c r="J7" s="54" t="s">
        <v>282</v>
      </c>
    </row>
    <row r="8" spans="1:12" x14ac:dyDescent="0.35">
      <c r="A8" s="61">
        <v>2023</v>
      </c>
      <c r="B8" s="15" t="s">
        <v>283</v>
      </c>
      <c r="C8" s="15" t="s">
        <v>284</v>
      </c>
      <c r="D8" s="26">
        <v>0</v>
      </c>
      <c r="E8" s="26">
        <v>320</v>
      </c>
      <c r="F8" s="26">
        <v>60</v>
      </c>
      <c r="G8" s="52">
        <f t="shared" si="0"/>
        <v>0</v>
      </c>
      <c r="H8" s="52">
        <f t="shared" si="1"/>
        <v>0</v>
      </c>
      <c r="I8" s="15" t="s">
        <v>226</v>
      </c>
      <c r="J8" s="54" t="s">
        <v>285</v>
      </c>
    </row>
    <row r="9" spans="1:12" x14ac:dyDescent="0.35">
      <c r="A9" s="61">
        <v>2023</v>
      </c>
      <c r="B9" s="15" t="s">
        <v>286</v>
      </c>
      <c r="C9" s="15" t="s">
        <v>287</v>
      </c>
      <c r="D9" s="26">
        <v>430</v>
      </c>
      <c r="E9" s="26">
        <v>95</v>
      </c>
      <c r="F9" s="26">
        <v>5</v>
      </c>
      <c r="G9" s="52">
        <f t="shared" si="0"/>
        <v>4.5263157894736841</v>
      </c>
      <c r="H9" s="52">
        <f t="shared" si="1"/>
        <v>86</v>
      </c>
      <c r="I9" s="15" t="s">
        <v>288</v>
      </c>
      <c r="J9" s="54" t="s">
        <v>289</v>
      </c>
    </row>
    <row r="10" spans="1:12" x14ac:dyDescent="0.35">
      <c r="A10" s="61">
        <v>2023</v>
      </c>
      <c r="B10" s="15" t="s">
        <v>290</v>
      </c>
      <c r="C10" s="15" t="s">
        <v>291</v>
      </c>
      <c r="D10" s="26">
        <v>35</v>
      </c>
      <c r="E10" s="26">
        <v>20</v>
      </c>
      <c r="F10" s="26">
        <v>0</v>
      </c>
      <c r="G10" s="52">
        <f t="shared" si="0"/>
        <v>1.75</v>
      </c>
      <c r="H10" s="52">
        <f t="shared" si="1"/>
        <v>0</v>
      </c>
      <c r="I10" s="15" t="s">
        <v>226</v>
      </c>
      <c r="J10" s="54" t="s">
        <v>292</v>
      </c>
    </row>
    <row r="11" spans="1:12" x14ac:dyDescent="0.35">
      <c r="A11" s="61">
        <v>2022</v>
      </c>
      <c r="B11" s="15" t="s">
        <v>241</v>
      </c>
      <c r="C11" s="15" t="s">
        <v>293</v>
      </c>
      <c r="D11" s="26">
        <v>29000</v>
      </c>
      <c r="E11" s="26">
        <v>1300</v>
      </c>
      <c r="F11" s="26">
        <v>100</v>
      </c>
      <c r="G11" s="52">
        <f t="shared" si="0"/>
        <v>22.307692307692307</v>
      </c>
      <c r="H11" s="52">
        <f t="shared" si="1"/>
        <v>290</v>
      </c>
      <c r="I11" s="15" t="s">
        <v>288</v>
      </c>
      <c r="J11" s="54" t="s">
        <v>294</v>
      </c>
    </row>
    <row r="12" spans="1:12" x14ac:dyDescent="0.35">
      <c r="A12" s="61">
        <v>2022</v>
      </c>
      <c r="B12" s="15" t="s">
        <v>295</v>
      </c>
      <c r="C12" s="15" t="s">
        <v>296</v>
      </c>
      <c r="D12" s="26">
        <v>17500</v>
      </c>
      <c r="E12" s="26">
        <v>4900</v>
      </c>
      <c r="F12" s="26">
        <v>1100</v>
      </c>
      <c r="G12" s="52">
        <f t="shared" si="0"/>
        <v>3.5714285714285716</v>
      </c>
      <c r="H12" s="52">
        <f t="shared" si="1"/>
        <v>15.909090909090908</v>
      </c>
      <c r="I12" s="15" t="s">
        <v>288</v>
      </c>
      <c r="J12" s="54" t="s">
        <v>297</v>
      </c>
    </row>
    <row r="13" spans="1:12" x14ac:dyDescent="0.35">
      <c r="A13" s="61">
        <v>2021</v>
      </c>
      <c r="B13" s="15" t="s">
        <v>298</v>
      </c>
      <c r="C13" s="15" t="s">
        <v>299</v>
      </c>
      <c r="D13" s="26">
        <v>4700</v>
      </c>
      <c r="E13" s="26">
        <v>240</v>
      </c>
      <c r="F13" s="26">
        <v>45</v>
      </c>
      <c r="G13" s="52">
        <f t="shared" si="0"/>
        <v>19.583333333333332</v>
      </c>
      <c r="H13" s="52">
        <f t="shared" si="1"/>
        <v>104.44444444444444</v>
      </c>
      <c r="I13" s="15" t="s">
        <v>226</v>
      </c>
      <c r="J13" s="54" t="s">
        <v>300</v>
      </c>
    </row>
    <row r="14" spans="1:12" x14ac:dyDescent="0.35">
      <c r="A14" s="61">
        <v>2021</v>
      </c>
      <c r="B14" s="15" t="s">
        <v>301</v>
      </c>
      <c r="C14" s="15" t="s">
        <v>302</v>
      </c>
      <c r="D14" s="26">
        <v>825</v>
      </c>
      <c r="E14" s="26">
        <v>45</v>
      </c>
      <c r="F14" s="26">
        <v>8</v>
      </c>
      <c r="G14" s="52">
        <f t="shared" si="0"/>
        <v>18.333333333333332</v>
      </c>
      <c r="H14" s="52">
        <f t="shared" si="1"/>
        <v>103.125</v>
      </c>
      <c r="I14" s="15" t="s">
        <v>288</v>
      </c>
      <c r="J14" s="54" t="s">
        <v>303</v>
      </c>
    </row>
    <row r="16" spans="1:12" ht="21.75" customHeight="1" x14ac:dyDescent="0.35">
      <c r="A16" s="24" t="s">
        <v>304</v>
      </c>
      <c r="B16" s="25"/>
      <c r="C16" s="25"/>
      <c r="D16" s="25"/>
      <c r="E16" s="25"/>
      <c r="F16" s="25"/>
      <c r="G16" s="25"/>
      <c r="H16" s="25"/>
      <c r="I16" s="25"/>
      <c r="J16" s="25"/>
    </row>
    <row r="18" spans="1:10" x14ac:dyDescent="0.35">
      <c r="A18" s="17" t="s">
        <v>249</v>
      </c>
      <c r="G18" s="57">
        <f>AVERAGE(G5,G6,G7,G8,G10,G13)</f>
        <v>4.5892857142857144</v>
      </c>
      <c r="H18" s="57">
        <f>AVERAGE(H5,H6,H7,H8,H10,H13)</f>
        <v>44.907407407407412</v>
      </c>
    </row>
    <row r="19" spans="1:10" x14ac:dyDescent="0.35">
      <c r="A19" s="17" t="s">
        <v>250</v>
      </c>
      <c r="G19" s="57">
        <f>MEDIAN(G5,G6,G7,G8,G10,G13)</f>
        <v>2.0178571428571428</v>
      </c>
      <c r="H19" s="57">
        <f>MEDIAN(H5,H6,H7,H8,H10,H13)</f>
        <v>42.5</v>
      </c>
    </row>
    <row r="20" spans="1:10" x14ac:dyDescent="0.35">
      <c r="A20" s="17" t="s">
        <v>251</v>
      </c>
      <c r="G20" s="52">
        <f>MIN(G5,G6,G7,G8,G10,G13)</f>
        <v>0</v>
      </c>
      <c r="H20" s="52">
        <f>MIN(H5,H6,H7,H8,H10,H13)</f>
        <v>0</v>
      </c>
    </row>
    <row r="21" spans="1:10" x14ac:dyDescent="0.35">
      <c r="A21" s="17" t="s">
        <v>252</v>
      </c>
      <c r="G21" s="52">
        <f>MAX(G5,G6,G7,G8,G10,G13)</f>
        <v>19.583333333333332</v>
      </c>
      <c r="H21" s="52">
        <f>MAX(H5,H6,H7,H8,H10,H13)</f>
        <v>104.44444444444444</v>
      </c>
    </row>
    <row r="23" spans="1:10" ht="21.75" customHeight="1" x14ac:dyDescent="0.35">
      <c r="A23" s="24" t="s">
        <v>305</v>
      </c>
      <c r="B23" s="25"/>
      <c r="C23" s="25"/>
      <c r="D23" s="25"/>
      <c r="E23" s="25"/>
      <c r="F23" s="25"/>
      <c r="G23" s="25"/>
      <c r="H23" s="25"/>
      <c r="I23" s="25"/>
      <c r="J23" s="25"/>
    </row>
    <row r="25" spans="1:10" x14ac:dyDescent="0.35">
      <c r="A25" s="13" t="s">
        <v>257</v>
      </c>
      <c r="E25" s="37">
        <f>'5. P&amp;L Forecast'!F6</f>
        <v>325.70192000000003</v>
      </c>
    </row>
    <row r="27" spans="1:10" x14ac:dyDescent="0.35">
      <c r="A27" s="17" t="s">
        <v>306</v>
      </c>
      <c r="I27" s="58" t="s">
        <v>307</v>
      </c>
    </row>
    <row r="28" spans="1:10" x14ac:dyDescent="0.35">
      <c r="A28" s="59" t="s">
        <v>308</v>
      </c>
      <c r="G28" s="52">
        <f>G19</f>
        <v>2.0178571428571428</v>
      </c>
      <c r="I28" s="39">
        <f>G28*E25</f>
        <v>657.2199457142857</v>
      </c>
    </row>
    <row r="29" spans="1:10" x14ac:dyDescent="0.35">
      <c r="A29" s="59" t="s">
        <v>309</v>
      </c>
      <c r="G29" s="52">
        <f>G18</f>
        <v>4.5892857142857144</v>
      </c>
      <c r="I29" s="39">
        <f>G29*E25</f>
        <v>1494.7391685714288</v>
      </c>
    </row>
    <row r="30" spans="1:10" x14ac:dyDescent="0.35">
      <c r="A30" s="59" t="s">
        <v>310</v>
      </c>
      <c r="G30" s="52">
        <f>G19*1.25</f>
        <v>2.5223214285714284</v>
      </c>
      <c r="I30" s="39">
        <f>G30*E25</f>
        <v>821.52493214285721</v>
      </c>
    </row>
    <row r="32" spans="1:10" x14ac:dyDescent="0.35">
      <c r="A32" s="1" t="s">
        <v>311</v>
      </c>
      <c r="B32" s="1"/>
      <c r="C32" s="1"/>
      <c r="D32" s="1"/>
      <c r="E32" s="1"/>
      <c r="F32" s="1"/>
      <c r="G32" s="1"/>
      <c r="H32" s="1"/>
      <c r="I32" s="1"/>
      <c r="J32" s="1"/>
    </row>
  </sheetData>
  <mergeCells count="1">
    <mergeCell ref="A32:J3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9A227"/>
  </sheetPr>
  <dimension ref="A1:L25"/>
  <sheetViews>
    <sheetView showGridLines="0" zoomScaleNormal="100" workbookViewId="0"/>
  </sheetViews>
  <sheetFormatPr defaultColWidth="8.6328125" defaultRowHeight="14.5" x14ac:dyDescent="0.35"/>
  <cols>
    <col min="1" max="1" width="38" customWidth="1"/>
    <col min="2" max="10" width="11" customWidth="1"/>
  </cols>
  <sheetData>
    <row r="1" spans="1:12" ht="27.75" customHeight="1" x14ac:dyDescent="0.35">
      <c r="A1" s="19" t="s">
        <v>312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313</v>
      </c>
    </row>
    <row r="4" spans="1:12" ht="21.75" customHeight="1" x14ac:dyDescent="0.35">
      <c r="A4" s="62" t="s">
        <v>314</v>
      </c>
      <c r="B4" s="62" t="s">
        <v>315</v>
      </c>
      <c r="C4" s="23" t="s">
        <v>316</v>
      </c>
      <c r="D4" s="23" t="s">
        <v>317</v>
      </c>
      <c r="E4" s="62" t="s">
        <v>318</v>
      </c>
    </row>
    <row r="5" spans="1:12" x14ac:dyDescent="0.35">
      <c r="A5" s="17" t="s">
        <v>319</v>
      </c>
      <c r="B5" s="13" t="s">
        <v>320</v>
      </c>
      <c r="C5" s="34">
        <v>850</v>
      </c>
      <c r="D5" s="34">
        <v>1100</v>
      </c>
      <c r="E5" s="13" t="s">
        <v>321</v>
      </c>
    </row>
    <row r="6" spans="1:12" x14ac:dyDescent="0.35">
      <c r="A6" s="17" t="s">
        <v>322</v>
      </c>
      <c r="B6" s="13" t="s">
        <v>323</v>
      </c>
      <c r="C6" s="34">
        <v>1500</v>
      </c>
      <c r="D6" s="34">
        <v>1900</v>
      </c>
      <c r="E6" s="13" t="s">
        <v>324</v>
      </c>
    </row>
    <row r="7" spans="1:12" x14ac:dyDescent="0.35">
      <c r="A7" s="17" t="s">
        <v>325</v>
      </c>
      <c r="B7" s="13" t="s">
        <v>326</v>
      </c>
      <c r="C7" s="34">
        <v>1100</v>
      </c>
      <c r="D7" s="34">
        <v>1800</v>
      </c>
      <c r="E7" s="13" t="s">
        <v>327</v>
      </c>
    </row>
    <row r="8" spans="1:12" x14ac:dyDescent="0.35">
      <c r="A8" s="17" t="s">
        <v>328</v>
      </c>
      <c r="B8" s="13" t="s">
        <v>329</v>
      </c>
      <c r="C8" s="34">
        <v>1400</v>
      </c>
      <c r="D8" s="34">
        <v>2100</v>
      </c>
      <c r="E8" s="13" t="s">
        <v>330</v>
      </c>
    </row>
    <row r="9" spans="1:12" x14ac:dyDescent="0.35">
      <c r="A9" s="17" t="s">
        <v>331</v>
      </c>
      <c r="B9" s="13" t="s">
        <v>332</v>
      </c>
      <c r="C9" s="34">
        <v>1500</v>
      </c>
      <c r="D9" s="34">
        <v>1700</v>
      </c>
      <c r="E9" s="13" t="s">
        <v>333</v>
      </c>
    </row>
    <row r="10" spans="1:12" x14ac:dyDescent="0.35">
      <c r="A10" s="17" t="s">
        <v>334</v>
      </c>
      <c r="B10" s="13" t="s">
        <v>335</v>
      </c>
      <c r="C10" s="34">
        <v>700</v>
      </c>
      <c r="D10" s="34">
        <v>1100</v>
      </c>
      <c r="E10" s="13" t="s">
        <v>336</v>
      </c>
    </row>
    <row r="12" spans="1:12" x14ac:dyDescent="0.35">
      <c r="A12" s="63" t="s">
        <v>337</v>
      </c>
    </row>
    <row r="13" spans="1:12" x14ac:dyDescent="0.35">
      <c r="A13" s="13" t="s">
        <v>338</v>
      </c>
      <c r="C13" s="64">
        <v>1800</v>
      </c>
      <c r="E13" s="13" t="s">
        <v>339</v>
      </c>
    </row>
    <row r="14" spans="1:12" x14ac:dyDescent="0.35">
      <c r="A14" s="13" t="s">
        <v>340</v>
      </c>
      <c r="C14" s="64">
        <v>2400</v>
      </c>
      <c r="E14" s="13" t="s">
        <v>341</v>
      </c>
    </row>
    <row r="15" spans="1:12" x14ac:dyDescent="0.35">
      <c r="A15" s="60" t="s">
        <v>342</v>
      </c>
      <c r="C15" s="64">
        <v>2100</v>
      </c>
      <c r="E15" s="60" t="s">
        <v>343</v>
      </c>
    </row>
    <row r="18" spans="1:10" ht="21.75" customHeight="1" x14ac:dyDescent="0.35">
      <c r="A18" s="24" t="s">
        <v>344</v>
      </c>
      <c r="B18" s="25"/>
      <c r="C18" s="25"/>
      <c r="D18" s="25"/>
      <c r="E18" s="25"/>
      <c r="F18" s="25"/>
      <c r="G18" s="25"/>
      <c r="H18" s="25"/>
      <c r="I18" s="25"/>
      <c r="J18" s="25"/>
    </row>
    <row r="20" spans="1:10" x14ac:dyDescent="0.35">
      <c r="A20" s="13" t="s">
        <v>345</v>
      </c>
    </row>
    <row r="21" spans="1:10" x14ac:dyDescent="0.35">
      <c r="A21" s="13" t="s">
        <v>346</v>
      </c>
    </row>
    <row r="22" spans="1:10" x14ac:dyDescent="0.35">
      <c r="A22" s="13" t="s">
        <v>347</v>
      </c>
    </row>
    <row r="23" spans="1:10" x14ac:dyDescent="0.35">
      <c r="A23" s="13" t="s">
        <v>348</v>
      </c>
    </row>
    <row r="24" spans="1:10" x14ac:dyDescent="0.35">
      <c r="A24" s="13" t="s">
        <v>349</v>
      </c>
    </row>
    <row r="25" spans="1:10" x14ac:dyDescent="0.35">
      <c r="A25" s="13" t="s">
        <v>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L27"/>
  <sheetViews>
    <sheetView showGridLines="0" zoomScaleNormal="100" workbookViewId="0"/>
  </sheetViews>
  <sheetFormatPr defaultColWidth="8.6328125" defaultRowHeight="14.5" x14ac:dyDescent="0.35"/>
  <cols>
    <col min="1" max="1" width="36" customWidth="1"/>
    <col min="2" max="4" width="16" customWidth="1"/>
    <col min="5" max="5" width="4" customWidth="1"/>
    <col min="6" max="6" width="36" customWidth="1"/>
    <col min="7" max="8" width="16" customWidth="1"/>
  </cols>
  <sheetData>
    <row r="1" spans="1:12" ht="27.75" customHeight="1" x14ac:dyDescent="0.35">
      <c r="A1" s="19" t="s">
        <v>351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352</v>
      </c>
    </row>
    <row r="4" spans="1:12" x14ac:dyDescent="0.35">
      <c r="A4" s="65" t="s">
        <v>353</v>
      </c>
      <c r="B4" s="66" t="s">
        <v>354</v>
      </c>
      <c r="C4" s="66" t="s">
        <v>355</v>
      </c>
      <c r="D4" s="66" t="s">
        <v>356</v>
      </c>
      <c r="F4" s="65" t="s">
        <v>357</v>
      </c>
      <c r="G4" s="66" t="s">
        <v>354</v>
      </c>
      <c r="H4" s="66" t="s">
        <v>355</v>
      </c>
    </row>
    <row r="6" spans="1:12" x14ac:dyDescent="0.35">
      <c r="A6" s="13" t="s">
        <v>358</v>
      </c>
      <c r="B6" s="34">
        <v>1000</v>
      </c>
      <c r="C6" s="45">
        <f>B6/B10</f>
        <v>0.47619047619047616</v>
      </c>
      <c r="D6" s="30">
        <v>0.04</v>
      </c>
      <c r="F6" s="13" t="s">
        <v>359</v>
      </c>
      <c r="G6" s="34">
        <v>1000</v>
      </c>
      <c r="H6" s="45">
        <f>G6/G12</f>
        <v>0.47619047619047616</v>
      </c>
    </row>
    <row r="7" spans="1:12" x14ac:dyDescent="0.35">
      <c r="A7" s="13" t="s">
        <v>360</v>
      </c>
      <c r="B7" s="34">
        <v>1000</v>
      </c>
      <c r="C7" s="45">
        <f>B7/B10</f>
        <v>0.47619047619047616</v>
      </c>
      <c r="D7" s="30">
        <v>0</v>
      </c>
      <c r="F7" s="13" t="s">
        <v>361</v>
      </c>
      <c r="G7" s="34">
        <v>1000</v>
      </c>
      <c r="H7" s="45">
        <f>G7/G12</f>
        <v>0.47619047619047616</v>
      </c>
    </row>
    <row r="8" spans="1:12" x14ac:dyDescent="0.35">
      <c r="A8" s="13" t="s">
        <v>362</v>
      </c>
      <c r="B8" s="34">
        <v>100</v>
      </c>
      <c r="C8" s="45">
        <f>B8/B10</f>
        <v>4.7619047619047616E-2</v>
      </c>
      <c r="D8" s="30">
        <v>8.5000000000000006E-2</v>
      </c>
      <c r="F8" s="13" t="s">
        <v>363</v>
      </c>
      <c r="G8" s="34">
        <v>30</v>
      </c>
      <c r="H8" s="45">
        <f>G8/G12</f>
        <v>1.4285714285714285E-2</v>
      </c>
    </row>
    <row r="9" spans="1:12" x14ac:dyDescent="0.35">
      <c r="F9" s="13" t="s">
        <v>364</v>
      </c>
      <c r="G9" s="34">
        <v>5</v>
      </c>
      <c r="H9" s="45">
        <f>G9/G12</f>
        <v>2.3809523809523812E-3</v>
      </c>
    </row>
    <row r="10" spans="1:12" x14ac:dyDescent="0.35">
      <c r="A10" s="43" t="s">
        <v>365</v>
      </c>
      <c r="B10" s="44">
        <f>SUM(B6:B8)</f>
        <v>2100</v>
      </c>
      <c r="F10" s="13" t="s">
        <v>366</v>
      </c>
      <c r="G10" s="34">
        <v>65</v>
      </c>
      <c r="H10" s="45">
        <f>G10/G12</f>
        <v>3.0952380952380953E-2</v>
      </c>
    </row>
    <row r="12" spans="1:12" x14ac:dyDescent="0.35">
      <c r="F12" s="43" t="s">
        <v>367</v>
      </c>
      <c r="G12" s="44">
        <f>SUM(G6:G10)</f>
        <v>2100</v>
      </c>
    </row>
    <row r="14" spans="1:12" x14ac:dyDescent="0.35">
      <c r="A14" s="67" t="s">
        <v>368</v>
      </c>
      <c r="B14" s="39">
        <f>B10-G12</f>
        <v>0</v>
      </c>
    </row>
    <row r="17" spans="1:8" ht="21.75" customHeight="1" x14ac:dyDescent="0.35">
      <c r="A17" s="24" t="s">
        <v>369</v>
      </c>
      <c r="B17" s="25"/>
      <c r="C17" s="25"/>
      <c r="D17" s="25"/>
      <c r="E17" s="25"/>
      <c r="F17" s="25"/>
      <c r="G17" s="25"/>
      <c r="H17" s="25"/>
    </row>
    <row r="19" spans="1:8" x14ac:dyDescent="0.35">
      <c r="A19" s="13" t="s">
        <v>370</v>
      </c>
      <c r="B19" s="32">
        <f>B10-30-5-65</f>
        <v>2000</v>
      </c>
    </row>
    <row r="20" spans="1:8" x14ac:dyDescent="0.35">
      <c r="A20" s="13" t="s">
        <v>371</v>
      </c>
      <c r="B20" s="32">
        <f>1000</f>
        <v>1000</v>
      </c>
    </row>
    <row r="21" spans="1:8" x14ac:dyDescent="0.35">
      <c r="A21" s="13" t="s">
        <v>372</v>
      </c>
      <c r="B21" s="32">
        <f>1000</f>
        <v>1000</v>
      </c>
    </row>
    <row r="22" spans="1:8" x14ac:dyDescent="0.35">
      <c r="A22" s="13" t="s">
        <v>373</v>
      </c>
      <c r="B22" s="45">
        <f>1000/(1000+1000)</f>
        <v>0.5</v>
      </c>
    </row>
    <row r="23" spans="1:8" x14ac:dyDescent="0.35">
      <c r="A23" s="13" t="s">
        <v>374</v>
      </c>
      <c r="B23" s="68">
        <f>280</f>
        <v>280</v>
      </c>
    </row>
    <row r="24" spans="1:8" x14ac:dyDescent="0.35">
      <c r="A24" s="13" t="s">
        <v>375</v>
      </c>
      <c r="B24" s="51">
        <f>1000*100/280/10</f>
        <v>35.714285714285715</v>
      </c>
    </row>
    <row r="25" spans="1:8" x14ac:dyDescent="0.35">
      <c r="A25" s="13" t="s">
        <v>376</v>
      </c>
      <c r="B25" s="51">
        <f>1130</f>
        <v>1130</v>
      </c>
    </row>
    <row r="26" spans="1:8" x14ac:dyDescent="0.35">
      <c r="A26" s="13" t="s">
        <v>377</v>
      </c>
      <c r="B26" s="51">
        <f>1130+1000*100/280/10</f>
        <v>1165.7142857142858</v>
      </c>
    </row>
    <row r="27" spans="1:8" x14ac:dyDescent="0.35">
      <c r="A27" s="13" t="s">
        <v>378</v>
      </c>
      <c r="B27" s="45">
        <f>(1000*100/280/10)/(1130+1000*100/280/10)</f>
        <v>3.0637254901960783E-2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L25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10" width="12" customWidth="1"/>
  </cols>
  <sheetData>
    <row r="1" spans="1:12" ht="27.75" customHeight="1" x14ac:dyDescent="0.35">
      <c r="A1" s="19" t="s">
        <v>379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5">
      <c r="A2" s="21" t="s">
        <v>380</v>
      </c>
    </row>
    <row r="4" spans="1:12" ht="21.75" customHeight="1" x14ac:dyDescent="0.35">
      <c r="A4" s="24" t="s">
        <v>381</v>
      </c>
      <c r="B4" s="25"/>
      <c r="C4" s="25"/>
      <c r="D4" s="25"/>
      <c r="E4" s="25"/>
      <c r="F4" s="25"/>
      <c r="G4" s="25"/>
      <c r="H4" s="25"/>
    </row>
    <row r="6" spans="1:12" x14ac:dyDescent="0.35">
      <c r="A6" s="69" t="s">
        <v>382</v>
      </c>
      <c r="B6" s="70">
        <v>0.1</v>
      </c>
      <c r="C6" s="70">
        <v>0.11</v>
      </c>
      <c r="D6" s="70">
        <v>0.12</v>
      </c>
      <c r="E6" s="70">
        <v>0.13</v>
      </c>
      <c r="F6" s="70">
        <v>0.14000000000000001</v>
      </c>
      <c r="G6" s="70">
        <v>0.15</v>
      </c>
      <c r="H6" s="70">
        <v>0.16</v>
      </c>
    </row>
    <row r="7" spans="1:12" x14ac:dyDescent="0.35">
      <c r="A7" s="70">
        <v>0.02</v>
      </c>
      <c r="B7" s="32">
        <f>'5. P&amp;L Forecast'!G40/((1+$B$6)^0.5)+'5. P&amp;L Forecast'!H40/((1+$B$6)^1.5)+'5. P&amp;L Forecast'!I40/((1+$B$6)^2.5)+'5. P&amp;L Forecast'!J40/((1+$B$6)^3.5)+'5. P&amp;L Forecast'!K40/((1+$B$6)^4.5)+'5. P&amp;L Forecast'!K40*(1+$A$7)/($B$6-$A$7)/((1+$B$6)^4.5)</f>
        <v>1127.0032703712457</v>
      </c>
      <c r="C7" s="32">
        <f>'5. P&amp;L Forecast'!G40/((1+$C$6)^0.5)+'5. P&amp;L Forecast'!H40/((1+$C$6)^1.5)+'5. P&amp;L Forecast'!I40/((1+$C$6)^2.5)+'5. P&amp;L Forecast'!J40/((1+$C$6)^3.5)+'5. P&amp;L Forecast'!K40/((1+$C$6)^4.5)+'5. P&amp;L Forecast'!K40*(1+$A$7)/($C$6-$A$7)/((1+$C$6)^4.5)</f>
        <v>988.86892255333169</v>
      </c>
      <c r="D7" s="32">
        <f>'5. P&amp;L Forecast'!G40/((1+$D$6)^0.5)+'5. P&amp;L Forecast'!H40/((1+$D$6)^1.5)+'5. P&amp;L Forecast'!I40/((1+$D$6)^2.5)+'5. P&amp;L Forecast'!J40/((1+$D$6)^3.5)+'5. P&amp;L Forecast'!K40/((1+$D$6)^4.5)+'5. P&amp;L Forecast'!K40*(1+$A$7)/($D$6-$A$7)/((1+$D$6)^4.5)</f>
        <v>878.74217627360281</v>
      </c>
      <c r="E7" s="32">
        <f>'5. P&amp;L Forecast'!G40/((1+$E$6)^0.5)+'5. P&amp;L Forecast'!H40/((1+$E$6)^1.5)+'5. P&amp;L Forecast'!I40/((1+$E$6)^2.5)+'5. P&amp;L Forecast'!J40/((1+$E$6)^3.5)+'5. P&amp;L Forecast'!K40/((1+$E$6)^4.5)+'5. P&amp;L Forecast'!K40*(1+$A$7)/($E$6-$A$7)/((1+$E$6)^4.5)</f>
        <v>788.96991213014542</v>
      </c>
      <c r="F7" s="32">
        <f>'5. P&amp;L Forecast'!G40/((1+$F$6)^0.5)+'5. P&amp;L Forecast'!H40/((1+$F$6)^1.5)+'5. P&amp;L Forecast'!I40/((1+$F$6)^2.5)+'5. P&amp;L Forecast'!J40/((1+$F$6)^3.5)+'5. P&amp;L Forecast'!K40/((1+$F$6)^4.5)+'5. P&amp;L Forecast'!K40*(1+$A$7)/($F$6-$A$7)/((1+$F$6)^4.5)</f>
        <v>714.45074950841251</v>
      </c>
      <c r="G7" s="32">
        <f>'5. P&amp;L Forecast'!G40/((1+$G$6)^0.5)+'5. P&amp;L Forecast'!H40/((1+$G$6)^1.5)+'5. P&amp;L Forecast'!I40/((1+$G$6)^2.5)+'5. P&amp;L Forecast'!J40/((1+$G$6)^3.5)+'5. P&amp;L Forecast'!K40/((1+$G$6)^4.5)+'5. P&amp;L Forecast'!K40*(1+$A$7)/($G$6-$A$7)/((1+$G$6)^4.5)</f>
        <v>651.65356929229188</v>
      </c>
      <c r="H7" s="32">
        <f>'5. P&amp;L Forecast'!G40/((1+$H$6)^0.5)+'5. P&amp;L Forecast'!H40/((1+$H$6)^1.5)+'5. P&amp;L Forecast'!I40/((1+$H$6)^2.5)+'5. P&amp;L Forecast'!J40/((1+$H$6)^3.5)+'5. P&amp;L Forecast'!K40/((1+$H$6)^4.5)+'5. P&amp;L Forecast'!K40*(1+$A$7)/($H$6-$A$7)/((1+$H$6)^4.5)</f>
        <v>598.05667223391606</v>
      </c>
    </row>
    <row r="8" spans="1:12" x14ac:dyDescent="0.35">
      <c r="A8" s="70">
        <v>0.03</v>
      </c>
      <c r="B8" s="32">
        <f>'5. P&amp;L Forecast'!G40/((1+$B$6)^0.5)+'5. P&amp;L Forecast'!H40/((1+$B$6)^1.5)+'5. P&amp;L Forecast'!I40/((1+$B$6)^2.5)+'5. P&amp;L Forecast'!J40/((1+$B$6)^3.5)+'5. P&amp;L Forecast'!K40/((1+$B$6)^4.5)+'5. P&amp;L Forecast'!K40*(1+$A$8)/($B$6-$A$8)/((1+$B$6)^4.5)</f>
        <v>1265.5480185310294</v>
      </c>
      <c r="C8" s="32">
        <f>'5. P&amp;L Forecast'!G40/((1+$C$6)^0.5)+'5. P&amp;L Forecast'!H40/((1+$C$6)^1.5)+'5. P&amp;L Forecast'!I40/((1+$C$6)^2.5)+'5. P&amp;L Forecast'!J40/((1+$C$6)^3.5)+'5. P&amp;L Forecast'!K40/((1+$C$6)^4.5)+'5. P&amp;L Forecast'!K40*(1+$A$8)/($C$6-$A$8)/((1+$C$6)^4.5)</f>
        <v>1093.2662955484943</v>
      </c>
      <c r="D8" s="32">
        <f>'5. P&amp;L Forecast'!G40/((1+$D$6)^0.5)+'5. P&amp;L Forecast'!H40/((1+$D$6)^1.5)+'5. P&amp;L Forecast'!I40/((1+$D$6)^2.5)+'5. P&amp;L Forecast'!J40/((1+$D$6)^3.5)+'5. P&amp;L Forecast'!K40/((1+$D$6)^4.5)+'5. P&amp;L Forecast'!K40*(1+$A$8)/($D$6-$A$8)/((1+$D$6)^4.5)</f>
        <v>959.67913918244199</v>
      </c>
      <c r="E8" s="32">
        <f>'5. P&amp;L Forecast'!G40/((1+$E$6)^0.5)+'5. P&amp;L Forecast'!H40/((1+$E$6)^1.5)+'5. P&amp;L Forecast'!I40/((1+$E$6)^2.5)+'5. P&amp;L Forecast'!J40/((1+$E$6)^3.5)+'5. P&amp;L Forecast'!K40/((1+$E$6)^4.5)+'5. P&amp;L Forecast'!K40*(1+$A$8)/($E$6-$A$8)/((1+$E$6)^4.5)</f>
        <v>853.16255483872055</v>
      </c>
      <c r="F8" s="32">
        <f>'5. P&amp;L Forecast'!G40/((1+$F$6)^0.5)+'5. P&amp;L Forecast'!H40/((1+$F$6)^1.5)+'5. P&amp;L Forecast'!I40/((1+$F$6)^2.5)+'5. P&amp;L Forecast'!J40/((1+$F$6)^3.5)+'5. P&amp;L Forecast'!K40/((1+$F$6)^4.5)+'5. P&amp;L Forecast'!K40*(1+$A$8)/($F$6-$A$8)/((1+$F$6)^4.5)</f>
        <v>766.32019219570486</v>
      </c>
      <c r="G8" s="32">
        <f>'5. P&amp;L Forecast'!G40/((1+$G$6)^0.5)+'5. P&amp;L Forecast'!H40/((1+$G$6)^1.5)+'5. P&amp;L Forecast'!I40/((1+$G$6)^2.5)+'5. P&amp;L Forecast'!J40/((1+$G$6)^3.5)+'5. P&amp;L Forecast'!K40/((1+$G$6)^4.5)+'5. P&amp;L Forecast'!K40*(1+$A$8)/($G$6-$A$8)/((1+$G$6)^4.5)</f>
        <v>694.22178562531644</v>
      </c>
      <c r="H8" s="32">
        <f>'5. P&amp;L Forecast'!G40/((1+$H$6)^0.5)+'5. P&amp;L Forecast'!H40/((1+$H$6)^1.5)+'5. P&amp;L Forecast'!I40/((1+$H$6)^2.5)+'5. P&amp;L Forecast'!J40/((1+$H$6)^3.5)+'5. P&amp;L Forecast'!K40/((1+$H$6)^4.5)+'5. P&amp;L Forecast'!K40*(1+$A$8)/($H$6-$A$8)/((1+$H$6)^4.5)</f>
        <v>633.45462474901615</v>
      </c>
    </row>
    <row r="9" spans="1:12" x14ac:dyDescent="0.35">
      <c r="A9" s="70">
        <v>0.04</v>
      </c>
      <c r="B9" s="32">
        <f>'5. P&amp;L Forecast'!G40/((1+$B$6)^0.5)+'5. P&amp;L Forecast'!H40/((1+$B$6)^1.5)+'5. P&amp;L Forecast'!I40/((1+$B$6)^2.5)+'5. P&amp;L Forecast'!J40/((1+$B$6)^3.5)+'5. P&amp;L Forecast'!K40/((1+$B$6)^4.5)+'5. P&amp;L Forecast'!K40*(1+$A$9)/($B$6-$A$9)/((1+$B$6)^4.5)</f>
        <v>1450.2743494107408</v>
      </c>
      <c r="C9" s="32">
        <f>'5. P&amp;L Forecast'!G40/((1+$C$6)^0.5)+'5. P&amp;L Forecast'!H40/((1+$C$6)^1.5)+'5. P&amp;L Forecast'!I40/((1+$C$6)^2.5)+'5. P&amp;L Forecast'!J40/((1+$C$6)^3.5)+'5. P&amp;L Forecast'!K40/((1+$C$6)^4.5)+'5. P&amp;L Forecast'!K40*(1+$A$9)/($C$6-$A$9)/((1+$C$6)^4.5)</f>
        <v>1227.4914893994182</v>
      </c>
      <c r="D9" s="32">
        <f>'5. P&amp;L Forecast'!G40/((1+$D$6)^0.5)+'5. P&amp;L Forecast'!H40/((1+$D$6)^1.5)+'5. P&amp;L Forecast'!I40/((1+$D$6)^2.5)+'5. P&amp;L Forecast'!J40/((1+$D$6)^3.5)+'5. P&amp;L Forecast'!K40/((1+$D$6)^4.5)+'5. P&amp;L Forecast'!K40*(1+$A$9)/($D$6-$A$9)/((1+$D$6)^4.5)</f>
        <v>1060.8503428184913</v>
      </c>
      <c r="E9" s="71">
        <f>'5. P&amp;L Forecast'!G40/((1+$E$6)^0.5)+'5. P&amp;L Forecast'!H40/((1+$E$6)^1.5)+'5. P&amp;L Forecast'!I40/((1+$E$6)^2.5)+'5. P&amp;L Forecast'!J40/((1+$E$6)^3.5)+'5. P&amp;L Forecast'!K40/((1+$E$6)^4.5)+'5. P&amp;L Forecast'!K40*(1+$A$9)/($E$6-$A$9)/((1+$E$6)^4.5)</f>
        <v>931.62022926031284</v>
      </c>
      <c r="F9" s="32">
        <f>'5. P&amp;L Forecast'!G40/((1+$F$6)^0.5)+'5. P&amp;L Forecast'!H40/((1+$F$6)^1.5)+'5. P&amp;L Forecast'!I40/((1+$F$6)^2.5)+'5. P&amp;L Forecast'!J40/((1+$F$6)^3.5)+'5. P&amp;L Forecast'!K40/((1+$F$6)^4.5)+'5. P&amp;L Forecast'!K40*(1+$A$9)/($F$6-$A$9)/((1+$F$6)^4.5)</f>
        <v>828.56352342045579</v>
      </c>
      <c r="G9" s="32">
        <f>'5. P&amp;L Forecast'!G40/((1+$G$6)^0.5)+'5. P&amp;L Forecast'!H40/((1+$G$6)^1.5)+'5. P&amp;L Forecast'!I40/((1+$G$6)^2.5)+'5. P&amp;L Forecast'!J40/((1+$G$6)^3.5)+'5. P&amp;L Forecast'!K40/((1+$G$6)^4.5)+'5. P&amp;L Forecast'!K40*(1+$A$9)/($G$6-$A$9)/((1+$G$6)^4.5)</f>
        <v>744.52967765525489</v>
      </c>
      <c r="H9" s="32">
        <f>'5. P&amp;L Forecast'!G40/((1+$H$6)^0.5)+'5. P&amp;L Forecast'!H40/((1+$H$6)^1.5)+'5. P&amp;L Forecast'!I40/((1+$H$6)^2.5)+'5. P&amp;L Forecast'!J40/((1+$H$6)^3.5)+'5. P&amp;L Forecast'!K40/((1+$H$6)^4.5)+'5. P&amp;L Forecast'!K40*(1+$A$9)/($H$6-$A$9)/((1+$H$6)^4.5)</f>
        <v>674.75223601663288</v>
      </c>
    </row>
    <row r="10" spans="1:12" x14ac:dyDescent="0.35">
      <c r="A10" s="70">
        <v>0.05</v>
      </c>
      <c r="B10" s="32">
        <f>'5. P&amp;L Forecast'!G40/((1+$B$6)^0.5)+'5. P&amp;L Forecast'!H40/((1+$B$6)^1.5)+'5. P&amp;L Forecast'!I40/((1+$B$6)^2.5)+'5. P&amp;L Forecast'!J40/((1+$B$6)^3.5)+'5. P&amp;L Forecast'!K40/((1+$B$6)^4.5)+'5. P&amp;L Forecast'!K40*(1+$A$10)/($B$6-$A$10)/((1+$B$6)^4.5)</f>
        <v>1708.891212642337</v>
      </c>
      <c r="C10" s="32">
        <f>'5. P&amp;L Forecast'!G40/((1+$C$6)^0.5)+'5. P&amp;L Forecast'!H40/((1+$C$6)^1.5)+'5. P&amp;L Forecast'!I40/((1+$C$6)^2.5)+'5. P&amp;L Forecast'!J40/((1+$C$6)^3.5)+'5. P&amp;L Forecast'!K40/((1+$C$6)^4.5)+'5. P&amp;L Forecast'!K40*(1+$A$10)/($C$6-$A$10)/((1+$C$6)^4.5)</f>
        <v>1406.4584145339832</v>
      </c>
      <c r="D10" s="32">
        <f>'5. P&amp;L Forecast'!G40/((1+$D$6)^0.5)+'5. P&amp;L Forecast'!H40/((1+$D$6)^1.5)+'5. P&amp;L Forecast'!I40/((1+$D$6)^2.5)+'5. P&amp;L Forecast'!J40/((1+$D$6)^3.5)+'5. P&amp;L Forecast'!K40/((1+$D$6)^4.5)+'5. P&amp;L Forecast'!K40*(1+$A$10)/($D$6-$A$10)/((1+$D$6)^4.5)</f>
        <v>1190.9276046362686</v>
      </c>
      <c r="E10" s="32">
        <f>'5. P&amp;L Forecast'!G40/((1+$E$6)^0.5)+'5. P&amp;L Forecast'!H40/((1+$E$6)^1.5)+'5. P&amp;L Forecast'!I40/((1+$E$6)^2.5)+'5. P&amp;L Forecast'!J40/((1+$E$6)^3.5)+'5. P&amp;L Forecast'!K40/((1+$E$6)^4.5)+'5. P&amp;L Forecast'!K40*(1+$A$10)/($E$6-$A$10)/((1+$E$6)^4.5)</f>
        <v>1029.6923222873027</v>
      </c>
      <c r="F10" s="32">
        <f>'5. P&amp;L Forecast'!G40/((1+$F$6)^0.5)+'5. P&amp;L Forecast'!H40/((1+$F$6)^1.5)+'5. P&amp;L Forecast'!I40/((1+$F$6)^2.5)+'5. P&amp;L Forecast'!J40/((1+$F$6)^3.5)+'5. P&amp;L Forecast'!K40/((1+$F$6)^4.5)+'5. P&amp;L Forecast'!K40*(1+$A$10)/($F$6-$A$10)/((1+$F$6)^4.5)</f>
        <v>904.63870602848465</v>
      </c>
      <c r="G10" s="32">
        <f>'5. P&amp;L Forecast'!G40/((1+$G$6)^0.5)+'5. P&amp;L Forecast'!H40/((1+$G$6)^1.5)+'5. P&amp;L Forecast'!I40/((1+$G$6)^2.5)+'5. P&amp;L Forecast'!J40/((1+$G$6)^3.5)+'5. P&amp;L Forecast'!K40/((1+$G$6)^4.5)+'5. P&amp;L Forecast'!K40*(1+$A$10)/($G$6-$A$10)/((1+$G$6)^4.5)</f>
        <v>804.89914809118079</v>
      </c>
      <c r="H10" s="32">
        <f>'5. P&amp;L Forecast'!G40/((1+$H$6)^0.5)+'5. P&amp;L Forecast'!H40/((1+$H$6)^1.5)+'5. P&amp;L Forecast'!I40/((1+$H$6)^2.5)+'5. P&amp;L Forecast'!J40/((1+$H$6)^3.5)+'5. P&amp;L Forecast'!K40/((1+$H$6)^4.5)+'5. P&amp;L Forecast'!K40*(1+$A$10)/($H$6-$A$10)/((1+$H$6)^4.5)</f>
        <v>723.55850387836176</v>
      </c>
    </row>
    <row r="11" spans="1:12" x14ac:dyDescent="0.35">
      <c r="A11" s="70">
        <v>0.06</v>
      </c>
      <c r="B11" s="32">
        <f>'5. P&amp;L Forecast'!G40/((1+$B$6)^0.5)+'5. P&amp;L Forecast'!H40/((1+$B$6)^1.5)+'5. P&amp;L Forecast'!I40/((1+$B$6)^2.5)+'5. P&amp;L Forecast'!J40/((1+$B$6)^3.5)+'5. P&amp;L Forecast'!K40/((1+$B$6)^4.5)+'5. P&amp;L Forecast'!K40*(1+$A$11)/($B$6-$A$11)/((1+$B$6)^4.5)</f>
        <v>2096.8165074897306</v>
      </c>
      <c r="C11" s="32">
        <f>'5. P&amp;L Forecast'!G40/((1+$C$6)^0.5)+'5. P&amp;L Forecast'!H40/((1+$C$6)^1.5)+'5. P&amp;L Forecast'!I40/((1+$C$6)^2.5)+'5. P&amp;L Forecast'!J40/((1+$C$6)^3.5)+'5. P&amp;L Forecast'!K40/((1+$C$6)^4.5)+'5. P&amp;L Forecast'!K40*(1+$A$11)/($C$6-$A$11)/((1+$C$6)^4.5)</f>
        <v>1657.0121097223737</v>
      </c>
      <c r="D11" s="32">
        <f>'5. P&amp;L Forecast'!G40/((1+$D$6)^0.5)+'5. P&amp;L Forecast'!H40/((1+$D$6)^1.5)+'5. P&amp;L Forecast'!I40/((1+$D$6)^2.5)+'5. P&amp;L Forecast'!J40/((1+$D$6)^3.5)+'5. P&amp;L Forecast'!K40/((1+$D$6)^4.5)+'5. P&amp;L Forecast'!K40*(1+$A$11)/($D$6-$A$11)/((1+$D$6)^4.5)</f>
        <v>1364.3639537266383</v>
      </c>
      <c r="E11" s="32">
        <f>'5. P&amp;L Forecast'!G40/((1+$E$6)^0.5)+'5. P&amp;L Forecast'!H40/((1+$E$6)^1.5)+'5. P&amp;L Forecast'!I40/((1+$E$6)^2.5)+'5. P&amp;L Forecast'!J40/((1+$E$6)^3.5)+'5. P&amp;L Forecast'!K40/((1+$E$6)^4.5)+'5. P&amp;L Forecast'!K40*(1+$A$11)/($E$6-$A$11)/((1+$E$6)^4.5)</f>
        <v>1155.7850133220043</v>
      </c>
      <c r="F11" s="32">
        <f>'5. P&amp;L Forecast'!G40/((1+$F$6)^0.5)+'5. P&amp;L Forecast'!H40/((1+$F$6)^1.5)+'5. P&amp;L Forecast'!I40/((1+$F$6)^2.5)+'5. P&amp;L Forecast'!J40/((1+$F$6)^3.5)+'5. P&amp;L Forecast'!K40/((1+$F$6)^4.5)+'5. P&amp;L Forecast'!K40*(1+$A$11)/($F$6-$A$11)/((1+$F$6)^4.5)</f>
        <v>999.73268428852066</v>
      </c>
      <c r="G11" s="32">
        <f>'5. P&amp;L Forecast'!G40/((1+$G$6)^0.5)+'5. P&amp;L Forecast'!H40/((1+$G$6)^1.5)+'5. P&amp;L Forecast'!I40/((1+$G$6)^2.5)+'5. P&amp;L Forecast'!J40/((1+$G$6)^3.5)+'5. P&amp;L Forecast'!K40/((1+$G$6)^4.5)+'5. P&amp;L Forecast'!K40*(1+$A$11)/($G$6-$A$11)/((1+$G$6)^4.5)</f>
        <v>878.68405640175683</v>
      </c>
      <c r="H11" s="32">
        <f>'5. P&amp;L Forecast'!G40/((1+$H$6)^0.5)+'5. P&amp;L Forecast'!H40/((1+$H$6)^1.5)+'5. P&amp;L Forecast'!I40/((1+$H$6)^2.5)+'5. P&amp;L Forecast'!J40/((1+$H$6)^3.5)+'5. P&amp;L Forecast'!K40/((1+$H$6)^4.5)+'5. P&amp;L Forecast'!K40*(1+$A$11)/($H$6-$A$11)/((1+$H$6)^4.5)</f>
        <v>782.12602531243647</v>
      </c>
    </row>
    <row r="14" spans="1:12" ht="21.75" customHeight="1" x14ac:dyDescent="0.35">
      <c r="A14" s="24" t="s">
        <v>383</v>
      </c>
      <c r="B14" s="25"/>
      <c r="C14" s="25"/>
      <c r="D14" s="25"/>
      <c r="E14" s="25"/>
      <c r="F14" s="25"/>
      <c r="G14" s="25"/>
      <c r="H14" s="25"/>
    </row>
    <row r="16" spans="1:12" x14ac:dyDescent="0.35">
      <c r="A16" s="69" t="s">
        <v>384</v>
      </c>
      <c r="B16" s="72">
        <v>13</v>
      </c>
      <c r="C16" s="72">
        <v>15</v>
      </c>
      <c r="D16" s="72">
        <v>17</v>
      </c>
      <c r="E16" s="72">
        <v>19</v>
      </c>
      <c r="F16" s="72">
        <v>21</v>
      </c>
      <c r="G16" s="72">
        <v>23</v>
      </c>
      <c r="H16" s="72">
        <v>25</v>
      </c>
    </row>
    <row r="17" spans="1:8" x14ac:dyDescent="0.35">
      <c r="A17" s="70">
        <v>0.03</v>
      </c>
      <c r="B17" s="32">
        <f>(700*(1+$A$17)^5*1.27*290*12/100*$B$16/10000)*(1-0.53)+120-195</f>
        <v>-53.086672032333837</v>
      </c>
      <c r="C17" s="32">
        <f>(700*(1+$A$17)^5*1.27*290*12/100*$C$16/10000)*(1-0.53)+120-195</f>
        <v>-49.715390806539062</v>
      </c>
      <c r="D17" s="32">
        <f>(700*(1+$A$17)^5*1.27*290*12/100*$D$16/10000)*(1-0.53)+120-195</f>
        <v>-46.344109580744259</v>
      </c>
      <c r="E17" s="32">
        <f>(700*(1+$A$17)^5*1.27*290*12/100*$E$16/10000)*(1-0.53)+120-195</f>
        <v>-42.972828354949456</v>
      </c>
      <c r="F17" s="32">
        <f>(700*(1+$A$17)^5*1.27*290*12/100*$F$16/10000)*(1-0.53)+120-195</f>
        <v>-39.601547129154682</v>
      </c>
      <c r="G17" s="32">
        <f>(700*(1+$A$17)^5*1.27*290*12/100*$G$16/10000)*(1-0.53)+120-195</f>
        <v>-36.230265903359907</v>
      </c>
      <c r="H17" s="32">
        <f>(700*(1+$A$17)^5*1.27*290*12/100*$H$16/10000)*(1-0.53)+120-195</f>
        <v>-32.858984677565104</v>
      </c>
    </row>
    <row r="18" spans="1:8" x14ac:dyDescent="0.35">
      <c r="A18" s="70">
        <v>0.05</v>
      </c>
      <c r="B18" s="32">
        <f>(700*(1+$A$18)^5*1.27*290*12/100*$B$16/10000)*(1-0.53)+120-195</f>
        <v>-50.874922869265873</v>
      </c>
      <c r="C18" s="32">
        <f>(700*(1+$A$18)^5*1.27*290*12/100*$C$16/10000)*(1-0.53)+120-195</f>
        <v>-47.163372541460632</v>
      </c>
      <c r="D18" s="32">
        <f>(700*(1+$A$18)^5*1.27*290*12/100*$D$16/10000)*(1-0.53)+120-195</f>
        <v>-43.45182221365539</v>
      </c>
      <c r="E18" s="32">
        <f>(700*(1+$A$18)^5*1.27*290*12/100*$E$16/10000)*(1-0.53)+120-195</f>
        <v>-39.74027188585012</v>
      </c>
      <c r="F18" s="32">
        <f>(700*(1+$A$18)^5*1.27*290*12/100*$F$16/10000)*(1-0.53)+120-195</f>
        <v>-36.028721558044879</v>
      </c>
      <c r="G18" s="32">
        <f>(700*(1+$A$18)^5*1.27*290*12/100*$G$16/10000)*(1-0.53)+120-195</f>
        <v>-32.317171230239637</v>
      </c>
      <c r="H18" s="32">
        <f>(700*(1+$A$18)^5*1.27*290*12/100*$H$16/10000)*(1-0.53)+120-195</f>
        <v>-28.605620902434396</v>
      </c>
    </row>
    <row r="19" spans="1:8" x14ac:dyDescent="0.35">
      <c r="A19" s="70">
        <v>7.0000000000000007E-2</v>
      </c>
      <c r="B19" s="32">
        <f>(700*(1+$A$19)^5*1.27*290*12/100*$B$16/10000)*(1-0.53)+120-195</f>
        <v>-48.488084700759629</v>
      </c>
      <c r="C19" s="32">
        <f>(700*(1+$A$19)^5*1.27*290*12/100*$C$16/10000)*(1-0.53)+120-195</f>
        <v>-44.409328500876512</v>
      </c>
      <c r="D19" s="71">
        <f>(700*(1+$A$19)^5*1.27*290*12/100*$D$16/10000)*(1-0.53)+120-195</f>
        <v>-40.330572300993367</v>
      </c>
      <c r="E19" s="32">
        <f>(700*(1+$A$19)^5*1.27*290*12/100*$E$16/10000)*(1-0.53)+120-195</f>
        <v>-36.251816101110251</v>
      </c>
      <c r="F19" s="32">
        <f>(700*(1+$A$19)^5*1.27*290*12/100*$F$16/10000)*(1-0.53)+120-195</f>
        <v>-32.173059901227106</v>
      </c>
      <c r="G19" s="32">
        <f>(700*(1+$A$19)^5*1.27*290*12/100*$G$16/10000)*(1-0.53)+120-195</f>
        <v>-28.094303701343961</v>
      </c>
      <c r="H19" s="32">
        <f>(700*(1+$A$19)^5*1.27*290*12/100*$H$16/10000)*(1-0.53)+120-195</f>
        <v>-24.015547501460844</v>
      </c>
    </row>
    <row r="20" spans="1:8" x14ac:dyDescent="0.35">
      <c r="A20" s="70">
        <v>0.09</v>
      </c>
      <c r="B20" s="32">
        <f>(700*(1+$A$20)^5*1.27*290*12/100*$B$16/10000)*(1-0.53)+120-195</f>
        <v>-45.915961902287762</v>
      </c>
      <c r="C20" s="32">
        <f>(700*(1+$A$20)^5*1.27*290*12/100*$C$16/10000)*(1-0.53)+120-195</f>
        <v>-41.441494502639728</v>
      </c>
      <c r="D20" s="32">
        <f>(700*(1+$A$20)^5*1.27*290*12/100*$D$16/10000)*(1-0.53)+120-195</f>
        <v>-36.967027102991693</v>
      </c>
      <c r="E20" s="32">
        <f>(700*(1+$A$20)^5*1.27*290*12/100*$E$16/10000)*(1-0.53)+120-195</f>
        <v>-32.492559703343659</v>
      </c>
      <c r="F20" s="32">
        <f>(700*(1+$A$20)^5*1.27*290*12/100*$F$16/10000)*(1-0.53)+120-195</f>
        <v>-28.018092303695653</v>
      </c>
      <c r="G20" s="32">
        <f>(700*(1+$A$20)^5*1.27*290*12/100*$G$16/10000)*(1-0.53)+120-195</f>
        <v>-23.54362490404759</v>
      </c>
      <c r="H20" s="32">
        <f>(700*(1+$A$20)^5*1.27*290*12/100*$H$16/10000)*(1-0.53)+120-195</f>
        <v>-19.069157504399556</v>
      </c>
    </row>
    <row r="21" spans="1:8" x14ac:dyDescent="0.35">
      <c r="A21" s="70">
        <v>0.11</v>
      </c>
      <c r="B21" s="32">
        <f>(700*(1+$A$21)^5*1.27*290*12/100*$B$16/10000)*(1-0.53)+120-195</f>
        <v>-43.1479705137086</v>
      </c>
      <c r="C21" s="32">
        <f>(700*(1+$A$21)^5*1.27*290*12/100*$C$16/10000)*(1-0.53)+120-195</f>
        <v>-38.247658285048402</v>
      </c>
      <c r="D21" s="32">
        <f>(700*(1+$A$21)^5*1.27*290*12/100*$D$16/10000)*(1-0.53)+120-195</f>
        <v>-33.347346056388176</v>
      </c>
      <c r="E21" s="32">
        <f>(700*(1+$A$21)^5*1.27*290*12/100*$E$16/10000)*(1-0.53)+120-195</f>
        <v>-28.447033827727978</v>
      </c>
      <c r="F21" s="32">
        <f>(700*(1+$A$21)^5*1.27*290*12/100*$F$16/10000)*(1-0.53)+120-195</f>
        <v>-23.546721599067752</v>
      </c>
      <c r="G21" s="32">
        <f>(700*(1+$A$21)^5*1.27*290*12/100*$G$16/10000)*(1-0.53)+120-195</f>
        <v>-18.646409370407525</v>
      </c>
      <c r="H21" s="32">
        <f>(700*(1+$A$21)^5*1.27*290*12/100*$H$16/10000)*(1-0.53)+120-195</f>
        <v>-13.746097141747327</v>
      </c>
    </row>
    <row r="24" spans="1:8" x14ac:dyDescent="0.35">
      <c r="A24" s="36" t="s">
        <v>385</v>
      </c>
    </row>
    <row r="25" spans="1:8" x14ac:dyDescent="0.35">
      <c r="A25" s="36" t="s">
        <v>386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Cover</vt:lpstr>
      <vt:lpstr>2. Operating Assumptions</vt:lpstr>
      <vt:lpstr>3. Revenue Build</vt:lpstr>
      <vt:lpstr>4. Cost Build</vt:lpstr>
      <vt:lpstr>5. P&amp;L Forecast</vt:lpstr>
      <vt:lpstr>6. DCF Valuation</vt:lpstr>
      <vt:lpstr>7. Trading Comps</vt:lpstr>
      <vt:lpstr>8. Transaction Comps</vt:lpstr>
      <vt:lpstr>9. Football Field</vt:lpstr>
      <vt:lpstr>10. Deal Structure</vt:lpstr>
      <vt:lpstr>11.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Bhattacharya, Bodhisatwa</cp:lastModifiedBy>
  <cp:revision>0</cp:revision>
  <dcterms:created xsi:type="dcterms:W3CDTF">2026-05-12T04:24:59Z</dcterms:created>
  <dcterms:modified xsi:type="dcterms:W3CDTF">2026-05-12T07:56:06Z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2026-05-12T07:54:08Z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0a232b01-e127-464c-a49f-9c0b99c9887d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