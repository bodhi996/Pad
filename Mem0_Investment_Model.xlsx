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arket Sizing" sheetId="2" state="visible" r:id="rId4"/>
    <sheet name="Revenue Build" sheetId="3" state="visible" r:id="rId5"/>
    <sheet name="Returns" sheetId="4" state="visible" r:id="rId6"/>
    <sheet name="Comp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<sst xmlns="http://schemas.openxmlformats.org/spreadsheetml/2006/main" count="167" uniqueCount="151">
  <si>
    <t xml:space="preserve">Mem0  |  Investment Case Model</t>
  </si>
  <si>
    <t xml:space="preserve">Tetration Ventures  |  US$ millions unless noted  |  Blue = input, Black = formula, Green = cross-sheet link  |  Prepared Jul 2026</t>
  </si>
  <si>
    <t xml:space="preserve">1.  Deal terms</t>
  </si>
  <si>
    <t xml:space="preserve">Entry post-money valuation ($mm)</t>
  </si>
  <si>
    <t xml:space="preserve">Not disclosed by company. Triangulated: Letta seed was ~$70mm post with less traction; AI infra Series A norms $50mm+ post for category leaders. Flex me.</t>
  </si>
  <si>
    <t xml:space="preserve">Investment / check size ($mm)</t>
  </si>
  <si>
    <t xml:space="preserve">Illustrative angel-AIF co-invest / SPV ticket. Flex me.</t>
  </si>
  <si>
    <t xml:space="preserve">Initial ownership %</t>
  </si>
  <si>
    <t xml:space="preserve">Holding period to exit (years)</t>
  </si>
  <si>
    <t xml:space="preserve">Entry year</t>
  </si>
  <si>
    <t xml:space="preserve">FY2026</t>
  </si>
  <si>
    <t xml:space="preserve">Exit year</t>
  </si>
  <si>
    <t xml:space="preserve">FY2031</t>
  </si>
  <si>
    <t xml:space="preserve">2.  Dilution to exit  (future rounds; fund assumed not to follow on)</t>
  </si>
  <si>
    <t xml:space="preserve">Series B dilution %</t>
  </si>
  <si>
    <t xml:space="preserve">Series C dilution %</t>
  </si>
  <si>
    <t xml:space="preserve">Series D dilution %</t>
  </si>
  <si>
    <t xml:space="preserve">Cumulative ownership retained %</t>
  </si>
  <si>
    <t xml:space="preserve">Effective exit ownership %</t>
  </si>
  <si>
    <t xml:space="preserve">3.  FY2026E revenue build  (bottoms-up, base case entry year)</t>
  </si>
  <si>
    <t xml:space="preserve">Self-serve paid accounts</t>
  </si>
  <si>
    <t xml:space="preserve">~1.9% of 80k+ signed-up developers convert to paid. Source: 80k figure from TechCrunch, Oct 2025.</t>
  </si>
  <si>
    <t xml:space="preserve">Self-serve ARPA ($/yr)</t>
  </si>
  <si>
    <t xml:space="preserve">Blend of Pro ($249/mo ~ $3.0k/yr) and usage overage tiers. Source pricing: agenticwire / vectorize, 2026.</t>
  </si>
  <si>
    <t xml:space="preserve">Self-serve ARR ($mm)</t>
  </si>
  <si>
    <t xml:space="preserve">Enterprise logos</t>
  </si>
  <si>
    <t xml:space="preserve">Fortune 500 + AWS-driven pipeline. Source: 'Fortune 500 customers' TechCrunch/PRNewswire, Oct 2025.</t>
  </si>
  <si>
    <t xml:space="preserve">Enterprise ACV ($)</t>
  </si>
  <si>
    <t xml:space="preserve">Assumed land ACV for compliance-grade (SOC2/HIPAA) memory infra.</t>
  </si>
  <si>
    <t xml:space="preserve">Enterprise ARR ($mm)</t>
  </si>
  <si>
    <t xml:space="preserve">FY2026E total ARR ($mm)</t>
  </si>
  <si>
    <t xml:space="preserve">4.  ARR growth by scenario  (YoY %)</t>
  </si>
  <si>
    <t xml:space="preserve">FY2027</t>
  </si>
  <si>
    <t xml:space="preserve">FY2028</t>
  </si>
  <si>
    <t xml:space="preserve">FY2029</t>
  </si>
  <si>
    <t xml:space="preserve">FY2030</t>
  </si>
  <si>
    <t xml:space="preserve">Bear</t>
  </si>
  <si>
    <t xml:space="preserve">Base</t>
  </si>
  <si>
    <t xml:space="preserve">Bull</t>
  </si>
  <si>
    <t xml:space="preserve">5.  Exit multiple  (EV / forward ARR)</t>
  </si>
  <si>
    <t xml:space="preserve">Soft outcome / acqui-hire. AI infra can compress to high single digits.</t>
  </si>
  <si>
    <t xml:space="preserve">AI-native infra median 25-30x ARR on growth names; 12x reflects size + maturity at exit. Source: qubit.capital, data-mania 2026.</t>
  </si>
  <si>
    <t xml:space="preserve">Category-defining, high-NRR consumption infra.</t>
  </si>
  <si>
    <t xml:space="preserve">6.  Market sizing inputs  (2030)</t>
  </si>
  <si>
    <t xml:space="preserve">Paying AI 'app-equivalents' needing memory (millions)</t>
  </si>
  <si>
    <t xml:space="preserve">Of ~4mm production AI-app builders by 2030, ~25% pay for memory infra.</t>
  </si>
  <si>
    <t xml:space="preserve">Avg annual memory spend per app ($)</t>
  </si>
  <si>
    <t xml:space="preserve">Enterprise platform deployments</t>
  </si>
  <si>
    <t xml:space="preserve">Avg enterprise platform spend ($)</t>
  </si>
  <si>
    <t xml:space="preserve">SAM as % of TAM</t>
  </si>
  <si>
    <t xml:space="preserve">Excludes fully in-house builds and big-lab-native-only memory.</t>
  </si>
  <si>
    <t xml:space="preserve">Mem0 SOM as % of SAM (FY2031, base)</t>
  </si>
  <si>
    <t xml:space="preserve">7.  Scenario probabilities</t>
  </si>
  <si>
    <t xml:space="preserve">Bear probability</t>
  </si>
  <si>
    <t xml:space="preserve">Base probability</t>
  </si>
  <si>
    <t xml:space="preserve">Bull probability</t>
  </si>
  <si>
    <t xml:space="preserve">Check (should = 100%)</t>
  </si>
  <si>
    <t xml:space="preserve">Market Sizing  |  TAM / SAM / SOM (2030)</t>
  </si>
  <si>
    <t xml:space="preserve">Bottoms-up. Working TAM kept deliberately conservative; external estimate shown as cross-check.</t>
  </si>
  <si>
    <t xml:space="preserve">Total addressable market (2030)</t>
  </si>
  <si>
    <t xml:space="preserve">TAM - developer / app-driven ($mm)</t>
  </si>
  <si>
    <t xml:space="preserve">millions of apps x $ spend/app. Link: Assumptions inputs.</t>
  </si>
  <si>
    <t xml:space="preserve">TAM - enterprise platform ($mm)</t>
  </si>
  <si>
    <t xml:space="preserve">TAM total ($mm)</t>
  </si>
  <si>
    <t xml:space="preserve">TAM total ($bn)</t>
  </si>
  <si>
    <t xml:space="preserve">External estimate cross-check ($bn, 2030)</t>
  </si>
  <si>
    <t xml:space="preserve">Source: agentmarketcap.ai, 2026 (secondary; treat as directional / aggressive).</t>
  </si>
  <si>
    <t xml:space="preserve">Serviceable market and share</t>
  </si>
  <si>
    <t xml:space="preserve">SAM ($mm)</t>
  </si>
  <si>
    <t xml:space="preserve">SOM - Mem0 base FY2031 ($mm)</t>
  </si>
  <si>
    <t xml:space="preserve">Implied Mem0 base ARR as % of TAM</t>
  </si>
  <si>
    <t xml:space="preserve">Base exit ARR / TAM. Sanity check: single-digit share needed.</t>
  </si>
  <si>
    <t xml:space="preserve">Implied Mem0 bull ARR as % of TAM</t>
  </si>
  <si>
    <t xml:space="preserve">Revenue Build  |  ARR by scenario ($mm)</t>
  </si>
  <si>
    <t xml:space="preserve">All scenarios start from the same FY2026E bottoms-up base; growth rates from Assumptions.</t>
  </si>
  <si>
    <t xml:space="preserve">ARR ($mm)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</si>
  <si>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</si>
  <si>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</si>
  <si>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</si>
  <si>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</si>
  <si>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</si>
  <si>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</si>
  <si>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FY2026E base ARR (from build)</t>
  </si>
  <si>
    <t xml:space="preserve">Note: base FY2031 ARR ties to Market Sizing SOM check.</t>
  </si>
  <si>
    <t xml:space="preserve">Revenue is usage + subscription (self-serve Pro + enterprise ACV + API consumption overage).</t>
  </si>
  <si>
    <t xml:space="preserve">Returns  |  Entry to exit, by scenario</t>
  </si>
  <si>
    <t xml:space="preserve">Exit equity value approximated by EV (minimal net debt at exit). $1.0mm illustrative ticket.</t>
  </si>
  <si>
    <t xml:space="preserve">Scenario</t>
  </si>
  <si>
    <t xml:space="preserve">Exit ARR ($mm)</t>
  </si>
  <si>
    <t xml:space="preserve">Exit multiple</t>
  </si>
  <si>
    <t xml:space="preserve">Exit EV ($mm)</t>
  </si>
  <si>
    <t xml:space="preserve">Exit own. %</t>
  </si>
  <si>
    <t xml:space="preserve">Proceeds ($mm)</t>
  </si>
  <si>
    <t xml:space="preserve">MOIC</t>
  </si>
  <si>
    <t xml:space="preserve">IRR</t>
  </si>
  <si>
    <t xml:space="preserve">Prob-weighted</t>
  </si>
  <si>
    <t xml:space="preserve">Expected MOIC</t>
  </si>
  <si>
    <t xml:space="preserve">Note: expected MOIC is tail-driven (typical of venture). Bear models a soft landing; a true category failure could impair most of the capital.</t>
  </si>
  <si>
    <t xml:space="preserve">Sensitivity: MOIC = Exit ARR x Multiple x Exit ownership / Invested</t>
  </si>
  <si>
    <t xml:space="preserve">Exit ARR \ Mult</t>
  </si>
  <si>
    <t xml:space="preserve">Comparable transactions &amp; sources</t>
  </si>
  <si>
    <t xml:space="preserve">Memory-layer and adjacent AI-infra rounds. Valuations largely undisclosed; estimates flagged.</t>
  </si>
  <si>
    <t xml:space="preserve">Company</t>
  </si>
  <si>
    <t xml:space="preserve">Category</t>
  </si>
  <si>
    <t xml:space="preserve">Stage</t>
  </si>
  <si>
    <t xml:space="preserve">Raised ($mm)</t>
  </si>
  <si>
    <t xml:space="preserve">Post-money</t>
  </si>
  <si>
    <t xml:space="preserve">Lead</t>
  </si>
  <si>
    <t xml:space="preserve">Date</t>
  </si>
  <si>
    <t xml:space="preserve">Mem0</t>
  </si>
  <si>
    <t xml:space="preserve">AI memory layer</t>
  </si>
  <si>
    <t xml:space="preserve">Seed+A</t>
  </si>
  <si>
    <t xml:space="preserve">24.0</t>
  </si>
  <si>
    <t xml:space="preserve">~$120mm (est)</t>
  </si>
  <si>
    <t xml:space="preserve">Kindred / Basis Set</t>
  </si>
  <si>
    <t xml:space="preserve">Oct 2025</t>
  </si>
  <si>
    <t xml:space="preserve">Letta (MemGPT)</t>
  </si>
  <si>
    <t xml:space="preserve">Agent memory / runtime</t>
  </si>
  <si>
    <t xml:space="preserve">Seed</t>
  </si>
  <si>
    <t xml:space="preserve">10.0</t>
  </si>
  <si>
    <t xml:space="preserve">$70mm (reported)</t>
  </si>
  <si>
    <t xml:space="preserve">Felicis</t>
  </si>
  <si>
    <t xml:space="preserve">2025</t>
  </si>
  <si>
    <t xml:space="preserve">Supermemory</t>
  </si>
  <si>
    <t xml:space="preserve">AI memory API</t>
  </si>
  <si>
    <t xml:space="preserve">2.6</t>
  </si>
  <si>
    <t xml:space="preserve">n/d</t>
  </si>
  <si>
    <t xml:space="preserve">Susa / Browder</t>
  </si>
  <si>
    <t xml:space="preserve">Zep</t>
  </si>
  <si>
    <t xml:space="preserve">Temporal memory graph</t>
  </si>
  <si>
    <t xml:space="preserve">n/d (small)</t>
  </si>
  <si>
    <t xml:space="preserve">Y Combinator</t>
  </si>
  <si>
    <t xml:space="preserve">2024</t>
  </si>
  <si>
    <t xml:space="preserve">Braintrust</t>
  </si>
  <si>
    <t xml:space="preserve">AI eval infra (adj.)</t>
  </si>
  <si>
    <t xml:space="preserve">Growth</t>
  </si>
  <si>
    <t xml:space="preserve">80.0</t>
  </si>
  <si>
    <t xml:space="preserve">Feb 2026</t>
  </si>
  <si>
    <t xml:space="preserve">Read-across: Letta's $70mm seed post (less traction) supports a $100-150mm Series A post for Mem0 given AWS deal, category-leading community, and 5x API growth in two quarters.</t>
  </si>
  <si>
    <t xml:space="preserve">Sources</t>
  </si>
  <si>
    <t xml:space="preserve">[1]  TechCrunch, 28 Oct 2025 - Mem0 raises $24M; $3.9M seed + $20M Series A; 41k stars, 14m downloads, 35m-&gt;186m API calls Q1-&gt;Q3 2025.</t>
  </si>
  <si>
    <t xml:space="preserve">[2]  PR Newswire, 28 Oct 2025 - AWS chose Mem0 as exclusive memory provider for its Agent SDK; CrewAI/Flowise/Langflow native.</t>
  </si>
  <si>
    <t xml:space="preserve">[3]  mem0.ai/series-a - company post; 'Plaid for memory' / memory passport vision.</t>
  </si>
  <si>
    <t xml:space="preserve">[4]  Tracxn (May 2026) &amp; PitchBook (2026) - HQ San Francisco; founded 2023; 22 employees (Apr 2026); total raised ~$24-25.5M; valuation gated.</t>
  </si>
  <si>
    <t xml:space="preserve">[5]  agenticwire.news / vectorize.io / atlan.com (2026) - pricing (Pro $249/mo), benchmarks (LongMemEval), competitive landscape.</t>
  </si>
  <si>
    <t xml:space="preserve">[6]  agentmarketcap.ai (2026) - agent-memory market $6.3bn (2025) -&gt; $28.5bn (2030) at ~35% CAGR (secondary, directional).</t>
  </si>
  <si>
    <t xml:space="preserve">[7]  qubit.capital / data-mania (2026) - AI Series A 15-30x revenue; AI-native platforms 25-30x ARR; median Series A post $30-35mm.</t>
  </si>
  <si>
    <t xml:space="preserve">Model notes &amp; AI-use disclosure</t>
  </si>
  <si>
    <t xml:space="preserve">- Entry valuation, ARR, and all forward assumptions are estimates: Mem0's valuation and revenue are not public. Numbers are triangulated from the sources above and are meant to show reasoning, not precision.</t>
  </si>
  <si>
    <t xml:space="preserve">- Exit assumes equity value approx = EV (minimal net debt) and no fund follow-on (pure dilution to exit).</t>
  </si>
  <si>
    <t xml:space="preserve">- AI-use disclosure (adapt in your own words): research aggregation, model scaffolding, and first-draft assumptions were produced with an AI assistant. The candidate reviewed, revised, and owns the final assumptions, scenario logic, and recommendation.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</si>
</sst>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\$#,##0.0;&quot;($&quot;#,##0.0\);\-"/>
    <numFmt numFmtId="167" formatCode="0.00%;\(0.00%\);\-"/>
    <numFmt numFmtId="168" formatCode="0.0"/>
    <numFmt numFmtId="169" formatCode="0.0%;\(0.0%\);\-"/>
    <numFmt numFmtId="170" formatCode="#,##0;\(#,##0\);\-"/>
    <numFmt numFmtId="171" formatCode="0.0\x"/>
    <numFmt numFmtId="172" formatCode="#,##0.0"/>
    <numFmt numFmtId="173" formatCode="\$#,##0.0&quot;bn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233F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5B6472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B64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B0"/>
        <bgColor rgb="FFEEF2F6"/>
      </patternFill>
    </fill>
    <fill>
      <patternFill patternType="solid">
        <fgColor rgb="FFEEF2F6"/>
        <bgColor rgb="FFFFFFFF"/>
      </patternFill>
    </fill>
    <fill>
      <patternFill patternType="solid">
        <fgColor rgb="FF10233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023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8" min="3" style="0" width="12"/>
    <col collapsed="false" customWidth="true" hidden="false" outlineLevel="0" max="9" min="9" style="0" width="2"/>
    <col collapsed="false" customWidth="true" hidden="false" outlineLevel="0" max="10" min="10" style="0" width="6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v>120</v>
      </c>
      <c r="J5" s="2" t="s">
        <v>4</v>
      </c>
    </row>
    <row r="6" customFormat="false" ht="15" hidden="false" customHeight="false" outlineLevel="0" collapsed="false">
      <c r="B6" s="4" t="s">
        <v>5</v>
      </c>
      <c r="C6" s="6" t="n">
        <v>1</v>
      </c>
      <c r="J6" s="2" t="s">
        <v>6</v>
      </c>
    </row>
    <row r="7" customFormat="false" ht="15" hidden="false" customHeight="false" outlineLevel="0" collapsed="false">
      <c r="B7" s="4" t="s">
        <v>7</v>
      </c>
      <c r="C7" s="7" t="n">
        <f aca="false">C6/C5</f>
        <v>0.00833333333333333</v>
      </c>
    </row>
    <row r="8" customFormat="false" ht="15" hidden="false" customHeight="false" outlineLevel="0" collapsed="false">
      <c r="B8" s="4" t="s">
        <v>8</v>
      </c>
      <c r="C8" s="8" t="n">
        <v>5</v>
      </c>
    </row>
    <row r="9" customFormat="false" ht="15" hidden="false" customHeight="false" outlineLevel="0" collapsed="false">
      <c r="B9" s="4" t="s">
        <v>9</v>
      </c>
      <c r="C9" s="9" t="s">
        <v>10</v>
      </c>
    </row>
    <row r="10" customFormat="false" ht="15" hidden="false" customHeight="false" outlineLevel="0" collapsed="false">
      <c r="B10" s="4" t="s">
        <v>11</v>
      </c>
      <c r="C10" s="9" t="s">
        <v>12</v>
      </c>
    </row>
    <row r="12" customFormat="false" ht="15" hidden="false" customHeight="false" outlineLevel="0" collapsed="false">
      <c r="B12" s="3" t="s">
        <v>13</v>
      </c>
    </row>
    <row r="13" customFormat="false" ht="15" hidden="false" customHeight="false" outlineLevel="0" collapsed="false">
      <c r="B13" s="4" t="s">
        <v>14</v>
      </c>
      <c r="C13" s="10" t="n">
        <v>0.22</v>
      </c>
    </row>
    <row r="14" customFormat="false" ht="15" hidden="false" customHeight="false" outlineLevel="0" collapsed="false">
      <c r="B14" s="4" t="s">
        <v>15</v>
      </c>
      <c r="C14" s="10" t="n">
        <v>0.2</v>
      </c>
    </row>
    <row r="15" customFormat="false" ht="15" hidden="false" customHeight="false" outlineLevel="0" collapsed="false">
      <c r="B15" s="4" t="s">
        <v>16</v>
      </c>
      <c r="C15" s="10" t="n">
        <v>0.18</v>
      </c>
    </row>
    <row r="16" customFormat="false" ht="15" hidden="false" customHeight="false" outlineLevel="0" collapsed="false">
      <c r="B16" s="11" t="s">
        <v>17</v>
      </c>
      <c r="C16" s="12" t="n">
        <f aca="false">(1-C13)*(1-C14)*(1-C15)</f>
        <v>0.51168</v>
      </c>
    </row>
    <row r="17" customFormat="false" ht="15" hidden="false" customHeight="false" outlineLevel="0" collapsed="false">
      <c r="B17" s="11" t="s">
        <v>18</v>
      </c>
      <c r="C17" s="13" t="n">
        <f aca="false">C7*C16</f>
        <v>0.004264</v>
      </c>
    </row>
    <row r="19" customFormat="false" ht="15" hidden="false" customHeight="false" outlineLevel="0" collapsed="false">
      <c r="B19" s="3" t="s">
        <v>19</v>
      </c>
    </row>
    <row r="20" customFormat="false" ht="15" hidden="false" customHeight="false" outlineLevel="0" collapsed="false">
      <c r="B20" s="4" t="s">
        <v>20</v>
      </c>
      <c r="C20" s="14" t="n">
        <v>1500</v>
      </c>
      <c r="J20" s="2" t="s">
        <v>21</v>
      </c>
    </row>
    <row r="21" customFormat="false" ht="15" hidden="false" customHeight="false" outlineLevel="0" collapsed="false">
      <c r="B21" s="4" t="s">
        <v>22</v>
      </c>
      <c r="C21" s="15" t="n">
        <v>3000</v>
      </c>
      <c r="J21" s="2" t="s">
        <v>23</v>
      </c>
    </row>
    <row r="22" customFormat="false" ht="15" hidden="false" customHeight="false" outlineLevel="0" collapsed="false">
      <c r="B22" s="4" t="s">
        <v>24</v>
      </c>
      <c r="C22" s="16" t="n">
        <f aca="false">C20*C21/1000000</f>
        <v>4.5</v>
      </c>
    </row>
    <row r="23" customFormat="false" ht="15" hidden="false" customHeight="false" outlineLevel="0" collapsed="false">
      <c r="B23" s="4" t="s">
        <v>25</v>
      </c>
      <c r="C23" s="14" t="n">
        <v>18</v>
      </c>
      <c r="J23" s="2" t="s">
        <v>26</v>
      </c>
    </row>
    <row r="24" customFormat="false" ht="15" hidden="false" customHeight="false" outlineLevel="0" collapsed="false">
      <c r="B24" s="4" t="s">
        <v>27</v>
      </c>
      <c r="C24" s="15" t="n">
        <v>110000</v>
      </c>
      <c r="J24" s="2" t="s">
        <v>28</v>
      </c>
    </row>
    <row r="25" customFormat="false" ht="15" hidden="false" customHeight="false" outlineLevel="0" collapsed="false">
      <c r="B25" s="4" t="s">
        <v>29</v>
      </c>
      <c r="C25" s="16" t="n">
        <f aca="false">C23*C24/1000000</f>
        <v>1.98</v>
      </c>
    </row>
    <row r="26" customFormat="false" ht="15" hidden="false" customHeight="false" outlineLevel="0" collapsed="false">
      <c r="B26" s="11" t="s">
        <v>30</v>
      </c>
      <c r="C26" s="17" t="n">
        <f aca="false">C22+C25</f>
        <v>6.48</v>
      </c>
    </row>
    <row r="28" customFormat="false" ht="15" hidden="false" customHeight="false" outlineLevel="0" collapsed="false">
      <c r="B28" s="3" t="s">
        <v>31</v>
      </c>
    </row>
    <row r="29" customFormat="false" ht="15" hidden="false" customHeight="false" outlineLevel="0" collapsed="false">
      <c r="C29" s="18" t="s">
        <v>32</v>
      </c>
      <c r="D29" s="18" t="s">
        <v>33</v>
      </c>
      <c r="E29" s="18" t="s">
        <v>34</v>
      </c>
      <c r="F29" s="18" t="s">
        <v>35</v>
      </c>
      <c r="G29" s="18" t="s">
        <v>12</v>
      </c>
    </row>
    <row r="30" customFormat="false" ht="15" hidden="false" customHeight="false" outlineLevel="0" collapsed="false">
      <c r="B30" s="4" t="s">
        <v>36</v>
      </c>
      <c r="C30" s="10" t="n">
        <v>1.1</v>
      </c>
      <c r="D30" s="10" t="n">
        <v>0.7</v>
      </c>
      <c r="E30" s="10" t="n">
        <v>0.45</v>
      </c>
      <c r="F30" s="10" t="n">
        <v>0.3</v>
      </c>
      <c r="G30" s="10" t="n">
        <v>0.22</v>
      </c>
    </row>
    <row r="31" customFormat="false" ht="15" hidden="false" customHeight="false" outlineLevel="0" collapsed="false">
      <c r="B31" s="4" t="s">
        <v>37</v>
      </c>
      <c r="C31" s="10" t="n">
        <v>1.8</v>
      </c>
      <c r="D31" s="10" t="n">
        <v>1.2</v>
      </c>
      <c r="E31" s="10" t="n">
        <v>0.8</v>
      </c>
      <c r="F31" s="10" t="n">
        <v>0.55</v>
      </c>
      <c r="G31" s="10" t="n">
        <v>0.4</v>
      </c>
    </row>
    <row r="32" customFormat="false" ht="15" hidden="false" customHeight="false" outlineLevel="0" collapsed="false">
      <c r="B32" s="4" t="s">
        <v>38</v>
      </c>
      <c r="C32" s="10" t="n">
        <v>2.4</v>
      </c>
      <c r="D32" s="10" t="n">
        <v>1.6</v>
      </c>
      <c r="E32" s="10" t="n">
        <v>1.1</v>
      </c>
      <c r="F32" s="10" t="n">
        <v>0.75</v>
      </c>
      <c r="G32" s="10" t="n">
        <v>0.55</v>
      </c>
    </row>
    <row r="34" customFormat="false" ht="15" hidden="false" customHeight="false" outlineLevel="0" collapsed="false">
      <c r="B34" s="3" t="s">
        <v>39</v>
      </c>
    </row>
    <row r="35" customFormat="false" ht="15" hidden="false" customHeight="false" outlineLevel="0" collapsed="false">
      <c r="B35" s="4" t="s">
        <v>36</v>
      </c>
      <c r="C35" s="19" t="n">
        <v>7</v>
      </c>
      <c r="J35" s="2" t="s">
        <v>40</v>
      </c>
    </row>
    <row r="36" customFormat="false" ht="15" hidden="false" customHeight="false" outlineLevel="0" collapsed="false">
      <c r="B36" s="4" t="s">
        <v>37</v>
      </c>
      <c r="C36" s="19" t="n">
        <v>12</v>
      </c>
      <c r="J36" s="2" t="s">
        <v>41</v>
      </c>
    </row>
    <row r="37" customFormat="false" ht="15" hidden="false" customHeight="false" outlineLevel="0" collapsed="false">
      <c r="B37" s="4" t="s">
        <v>38</v>
      </c>
      <c r="C37" s="19" t="n">
        <v>18</v>
      </c>
      <c r="J37" s="2" t="s">
        <v>42</v>
      </c>
    </row>
    <row r="39" customFormat="false" ht="15" hidden="false" customHeight="false" outlineLevel="0" collapsed="false">
      <c r="B39" s="3" t="s">
        <v>43</v>
      </c>
    </row>
    <row r="40" customFormat="false" ht="15" hidden="false" customHeight="false" outlineLevel="0" collapsed="false">
      <c r="B40" s="4" t="s">
        <v>44</v>
      </c>
      <c r="C40" s="20" t="n">
        <v>1</v>
      </c>
      <c r="J40" s="2" t="s">
        <v>45</v>
      </c>
    </row>
    <row r="41" customFormat="false" ht="15" hidden="false" customHeight="false" outlineLevel="0" collapsed="false">
      <c r="B41" s="4" t="s">
        <v>46</v>
      </c>
      <c r="C41" s="15" t="n">
        <v>6000</v>
      </c>
    </row>
    <row r="42" customFormat="false" ht="15" hidden="false" customHeight="false" outlineLevel="0" collapsed="false">
      <c r="B42" s="4" t="s">
        <v>47</v>
      </c>
      <c r="C42" s="14" t="n">
        <v>2000</v>
      </c>
    </row>
    <row r="43" customFormat="false" ht="15" hidden="false" customHeight="false" outlineLevel="0" collapsed="false">
      <c r="B43" s="4" t="s">
        <v>48</v>
      </c>
      <c r="C43" s="15" t="n">
        <v>250000</v>
      </c>
    </row>
    <row r="44" customFormat="false" ht="15" hidden="false" customHeight="false" outlineLevel="0" collapsed="false">
      <c r="B44" s="4" t="s">
        <v>49</v>
      </c>
      <c r="C44" s="10" t="n">
        <v>0.55</v>
      </c>
      <c r="J44" s="2" t="s">
        <v>50</v>
      </c>
    </row>
    <row r="45" customFormat="false" ht="15" hidden="false" customHeight="false" outlineLevel="0" collapsed="false">
      <c r="B45" s="4" t="s">
        <v>51</v>
      </c>
      <c r="C45" s="10" t="n">
        <v>0.045</v>
      </c>
    </row>
    <row r="47" customFormat="false" ht="15" hidden="false" customHeight="false" outlineLevel="0" collapsed="false">
      <c r="B47" s="3" t="s">
        <v>52</v>
      </c>
    </row>
    <row r="48" customFormat="false" ht="15" hidden="false" customHeight="false" outlineLevel="0" collapsed="false">
      <c r="B48" s="4" t="s">
        <v>53</v>
      </c>
      <c r="C48" s="10" t="n">
        <v>0.35</v>
      </c>
    </row>
    <row r="49" customFormat="false" ht="15" hidden="false" customHeight="false" outlineLevel="0" collapsed="false">
      <c r="B49" s="4" t="s">
        <v>54</v>
      </c>
      <c r="C49" s="10" t="n">
        <v>0.5</v>
      </c>
    </row>
    <row r="50" customFormat="false" ht="15" hidden="false" customHeight="false" outlineLevel="0" collapsed="false">
      <c r="B50" s="4" t="s">
        <v>55</v>
      </c>
      <c r="C50" s="10" t="n">
        <v>0.15</v>
      </c>
    </row>
    <row r="51" customFormat="false" ht="15" hidden="false" customHeight="false" outlineLevel="0" collapsed="false">
      <c r="B51" s="21" t="s">
        <v>56</v>
      </c>
      <c r="C51" s="12" t="n">
        <f aca="false">C48+C49+C50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2"/>
    <col collapsed="false" customWidth="true" hidden="false" outlineLevel="0" max="5" min="5" style="0" width="58"/>
  </cols>
  <sheetData>
    <row r="1" customFormat="false" ht="19.7" hidden="false" customHeight="false" outlineLevel="0" collapsed="false">
      <c r="B1" s="1" t="s">
        <v>57</v>
      </c>
    </row>
    <row r="2" customFormat="false" ht="15" hidden="false" customHeight="false" outlineLevel="0" collapsed="false">
      <c r="B2" s="2" t="s">
        <v>58</v>
      </c>
    </row>
    <row r="4" customFormat="false" ht="15" hidden="false" customHeight="false" outlineLevel="0" collapsed="false">
      <c r="B4" s="3" t="s">
        <v>59</v>
      </c>
    </row>
    <row r="5" customFormat="false" ht="15" hidden="false" customHeight="false" outlineLevel="0" collapsed="false">
      <c r="B5" s="4" t="s">
        <v>60</v>
      </c>
      <c r="C5" s="22" t="n">
        <f aca="false">Assumptions!C40*Assumptions!C41</f>
        <v>6000</v>
      </c>
      <c r="E5" s="2" t="s">
        <v>61</v>
      </c>
    </row>
    <row r="6" customFormat="false" ht="15" hidden="false" customHeight="false" outlineLevel="0" collapsed="false">
      <c r="B6" s="4" t="s">
        <v>62</v>
      </c>
      <c r="C6" s="22" t="n">
        <f aca="false">Assumptions!C42*Assumptions!C43/1000000</f>
        <v>500</v>
      </c>
    </row>
    <row r="7" customFormat="false" ht="15" hidden="false" customHeight="false" outlineLevel="0" collapsed="false">
      <c r="B7" s="11" t="s">
        <v>63</v>
      </c>
      <c r="C7" s="23" t="n">
        <f aca="false">C5+C6</f>
        <v>6500</v>
      </c>
    </row>
    <row r="8" customFormat="false" ht="15" hidden="false" customHeight="false" outlineLevel="0" collapsed="false">
      <c r="B8" s="11" t="s">
        <v>64</v>
      </c>
      <c r="C8" s="24" t="n">
        <f aca="false">C7/1000</f>
        <v>6.5</v>
      </c>
    </row>
    <row r="9" customFormat="false" ht="15" hidden="false" customHeight="false" outlineLevel="0" collapsed="false">
      <c r="B9" s="4" t="s">
        <v>65</v>
      </c>
      <c r="C9" s="25" t="n">
        <v>28.5</v>
      </c>
      <c r="E9" s="2" t="s">
        <v>66</v>
      </c>
    </row>
    <row r="11" customFormat="false" ht="15" hidden="false" customHeight="false" outlineLevel="0" collapsed="false">
      <c r="B11" s="3" t="s">
        <v>67</v>
      </c>
    </row>
    <row r="12" customFormat="false" ht="15" hidden="false" customHeight="false" outlineLevel="0" collapsed="false">
      <c r="B12" s="4" t="s">
        <v>68</v>
      </c>
      <c r="C12" s="26" t="n">
        <f aca="false">C7*Assumptions!C44</f>
        <v>3575</v>
      </c>
    </row>
    <row r="13" customFormat="false" ht="15" hidden="false" customHeight="false" outlineLevel="0" collapsed="false">
      <c r="B13" s="11" t="s">
        <v>69</v>
      </c>
      <c r="C13" s="23" t="n">
        <f aca="false">C12*Assumptions!C45</f>
        <v>160.875</v>
      </c>
    </row>
    <row r="14" customFormat="false" ht="15" hidden="false" customHeight="false" outlineLevel="0" collapsed="false">
      <c r="B14" s="4" t="s">
        <v>70</v>
      </c>
      <c r="C14" s="27" t="n">
        <f aca="false">'Revenue Build'!H7/C7</f>
        <v>0.0239869262769231</v>
      </c>
      <c r="E14" s="2" t="s">
        <v>71</v>
      </c>
    </row>
    <row r="15" customFormat="false" ht="15" hidden="false" customHeight="false" outlineLevel="0" collapsed="false">
      <c r="B15" s="4" t="s">
        <v>72</v>
      </c>
      <c r="C15" s="27" t="n">
        <f aca="false">'Revenue Build'!H8/C7</f>
        <v>0.050199912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2"/>
    <col collapsed="false" customWidth="true" hidden="false" outlineLevel="0" max="10" min="10" style="0" width="44"/>
  </cols>
  <sheetData>
    <row r="1" customFormat="false" ht="19.7" hidden="false" customHeight="false" outlineLevel="0" collapsed="false">
      <c r="B1" s="1" t="s">
        <v>73</v>
      </c>
    </row>
    <row r="2" customFormat="false" ht="15" hidden="false" customHeight="false" outlineLevel="0" collapsed="false">
      <c r="B2" s="2" t="s">
        <v>74</v>
      </c>
    </row>
    <row r="4" customFormat="false" ht="15" hidden="false" customHeight="false" outlineLevel="0" collapsed="false">
      <c r="B4" s="28" t="s">
        <v>75</v>
      </c>
      <c r="C4" s="29" t="s">
        <v>76</v>
      </c>
      <c r="D4" s="29" t="s">
        <v>77</v>
      </c>
      <c r="E4" s="29" t="s">
        <v>78</v>
      </c>
      <c r="F4" s="29" t="s">
        <v>79</v>
      </c>
      <c r="G4" s="29" t="s">
        <v>80</v>
      </c>
      <c r="H4" s="29" t="s">
        <v>81</v>
      </c>
    </row>
    <row r="6" customFormat="false" ht="15" hidden="false" customHeight="false" outlineLevel="0" collapsed="false">
      <c r="B6" s="4" t="s">
        <v>82</v>
      </c>
      <c r="C6" s="30" t="n">
        <f aca="false">Assumptions!C26</f>
        <v>6.48</v>
      </c>
    </row>
    <row r="7" customFormat="false" ht="15" hidden="false" customHeight="false" outlineLevel="0" collapsed="false">
      <c r="B7" s="11" t="s">
        <v>37</v>
      </c>
      <c r="C7" s="30" t="n">
        <f aca="false">$C$6</f>
        <v>6.48</v>
      </c>
      <c r="D7" s="31" t="n">
        <f aca="false">C7*(1+Assumptions!C31)</f>
        <v>18.144</v>
      </c>
      <c r="E7" s="31" t="n">
        <f aca="false">D7*(1+Assumptions!D31)</f>
        <v>39.9168</v>
      </c>
      <c r="F7" s="31" t="n">
        <f aca="false">E7*(1+Assumptions!E31)</f>
        <v>71.85024</v>
      </c>
      <c r="G7" s="31" t="n">
        <f aca="false">F7*(1+Assumptions!F31)</f>
        <v>111.367872</v>
      </c>
      <c r="H7" s="31" t="n">
        <f aca="false">G7*(1+Assumptions!G31)</f>
        <v>155.9150208</v>
      </c>
    </row>
    <row r="8" customFormat="false" ht="15" hidden="false" customHeight="false" outlineLevel="0" collapsed="false">
      <c r="B8" s="11" t="s">
        <v>38</v>
      </c>
      <c r="C8" s="30" t="n">
        <f aca="false">$C$6</f>
        <v>6.48</v>
      </c>
      <c r="D8" s="16" t="n">
        <f aca="false">C8*(1+Assumptions!C32)</f>
        <v>22.032</v>
      </c>
      <c r="E8" s="16" t="n">
        <f aca="false">D8*(1+Assumptions!D32)</f>
        <v>57.2832</v>
      </c>
      <c r="F8" s="16" t="n">
        <f aca="false">E8*(1+Assumptions!E32)</f>
        <v>120.29472</v>
      </c>
      <c r="G8" s="16" t="n">
        <f aca="false">F8*(1+Assumptions!F32)</f>
        <v>210.51576</v>
      </c>
      <c r="H8" s="16" t="n">
        <f aca="false">G8*(1+Assumptions!G32)</f>
        <v>326.299428</v>
      </c>
    </row>
    <row r="9" customFormat="false" ht="15" hidden="false" customHeight="false" outlineLevel="0" collapsed="false">
      <c r="B9" s="11" t="s">
        <v>36</v>
      </c>
      <c r="C9" s="30" t="n">
        <f aca="false">$C$6</f>
        <v>6.48</v>
      </c>
      <c r="D9" s="16" t="n">
        <f aca="false">C9*(1+Assumptions!C30)</f>
        <v>13.608</v>
      </c>
      <c r="E9" s="16" t="n">
        <f aca="false">D9*(1+Assumptions!D30)</f>
        <v>23.1336</v>
      </c>
      <c r="F9" s="16" t="n">
        <f aca="false">E9*(1+Assumptions!E30)</f>
        <v>33.54372</v>
      </c>
      <c r="G9" s="16" t="n">
        <f aca="false">F9*(1+Assumptions!F30)</f>
        <v>43.606836</v>
      </c>
      <c r="H9" s="16" t="n">
        <f aca="false">G9*(1+Assumptions!G30)</f>
        <v>53.20033992</v>
      </c>
    </row>
    <row r="11" customFormat="false" ht="15" hidden="false" customHeight="false" outlineLevel="0" collapsed="false">
      <c r="B11" s="2" t="s">
        <v>83</v>
      </c>
    </row>
    <row r="12" customFormat="false" ht="15" hidden="false" customHeight="false" outlineLevel="0" collapsed="false">
      <c r="B12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9" min="3" style="0" width="13"/>
  </cols>
  <sheetData>
    <row r="1" customFormat="false" ht="19.7" hidden="false" customHeight="false" outlineLevel="0" collapsed="false">
      <c r="B1" s="1" t="s">
        <v>85</v>
      </c>
    </row>
    <row r="2" customFormat="false" ht="15" hidden="false" customHeight="false" outlineLevel="0" collapsed="false">
      <c r="B2" s="2" t="s">
        <v>86</v>
      </c>
    </row>
    <row r="4" customFormat="false" ht="30" hidden="false" customHeight="true" outlineLevel="0" collapsed="false">
      <c r="B4" s="32" t="s">
        <v>87</v>
      </c>
      <c r="C4" s="32" t="s">
        <v>88</v>
      </c>
      <c r="D4" s="32" t="s">
        <v>89</v>
      </c>
      <c r="E4" s="32" t="s">
        <v>90</v>
      </c>
      <c r="F4" s="32" t="s">
        <v>91</v>
      </c>
      <c r="G4" s="32" t="s">
        <v>92</v>
      </c>
      <c r="H4" s="32" t="s">
        <v>93</v>
      </c>
      <c r="I4" s="32" t="s">
        <v>94</v>
      </c>
    </row>
    <row r="5" customFormat="false" ht="15" hidden="false" customHeight="false" outlineLevel="0" collapsed="false">
      <c r="B5" s="11" t="s">
        <v>36</v>
      </c>
      <c r="C5" s="30" t="n">
        <f aca="false">'Revenue Build'!H9</f>
        <v>53.20033992</v>
      </c>
      <c r="D5" s="33" t="n">
        <f aca="false">Assumptions!C35</f>
        <v>7</v>
      </c>
      <c r="E5" s="26" t="n">
        <f aca="false">C5*D5</f>
        <v>372.40237944</v>
      </c>
      <c r="F5" s="34" t="n">
        <f aca="false">Assumptions!$C$17</f>
        <v>0.004264</v>
      </c>
      <c r="G5" s="16" t="n">
        <f aca="false">E5*F5</f>
        <v>1.58792374593216</v>
      </c>
      <c r="H5" s="35" t="n">
        <f aca="false">G5/Assumptions!$C$6</f>
        <v>1.58792374593216</v>
      </c>
      <c r="I5" s="36" t="n">
        <f aca="false">(G5/Assumptions!$C$6)^(1/Assumptions!$C$8)-1</f>
        <v>0.0968972019349239</v>
      </c>
    </row>
    <row r="6" customFormat="false" ht="15" hidden="false" customHeight="false" outlineLevel="0" collapsed="false">
      <c r="B6" s="37" t="s">
        <v>37</v>
      </c>
      <c r="C6" s="38" t="n">
        <f aca="false">'Revenue Build'!H7</f>
        <v>155.9150208</v>
      </c>
      <c r="D6" s="39" t="n">
        <f aca="false">Assumptions!C36</f>
        <v>12</v>
      </c>
      <c r="E6" s="40" t="n">
        <f aca="false">C6*D6</f>
        <v>1870.9802496</v>
      </c>
      <c r="F6" s="41" t="n">
        <f aca="false">Assumptions!$C$17</f>
        <v>0.004264</v>
      </c>
      <c r="G6" s="31" t="n">
        <f aca="false">E6*F6</f>
        <v>7.9778597842944</v>
      </c>
      <c r="H6" s="42" t="n">
        <f aca="false">G6/Assumptions!$C$6</f>
        <v>7.9778597842944</v>
      </c>
      <c r="I6" s="43" t="n">
        <f aca="false">(G6/Assumptions!$C$6)^(1/Assumptions!$C$8)-1</f>
        <v>0.514876678937176</v>
      </c>
    </row>
    <row r="7" customFormat="false" ht="15" hidden="false" customHeight="false" outlineLevel="0" collapsed="false">
      <c r="B7" s="11" t="s">
        <v>38</v>
      </c>
      <c r="C7" s="30" t="n">
        <f aca="false">'Revenue Build'!H8</f>
        <v>326.299428</v>
      </c>
      <c r="D7" s="33" t="n">
        <f aca="false">Assumptions!C37</f>
        <v>18</v>
      </c>
      <c r="E7" s="26" t="n">
        <f aca="false">C7*D7</f>
        <v>5873.389704</v>
      </c>
      <c r="F7" s="34" t="n">
        <f aca="false">Assumptions!$C$17</f>
        <v>0.004264</v>
      </c>
      <c r="G7" s="16" t="n">
        <f aca="false">E7*F7</f>
        <v>25.044133697856</v>
      </c>
      <c r="H7" s="35" t="n">
        <f aca="false">G7/Assumptions!$C$6</f>
        <v>25.044133697856</v>
      </c>
      <c r="I7" s="36" t="n">
        <f aca="false">(G7/Assumptions!$C$6)^(1/Assumptions!$C$8)-1</f>
        <v>0.904325586908119</v>
      </c>
    </row>
    <row r="9" customFormat="false" ht="15" hidden="false" customHeight="false" outlineLevel="0" collapsed="false">
      <c r="B9" s="11" t="s">
        <v>95</v>
      </c>
      <c r="F9" s="21" t="s">
        <v>96</v>
      </c>
      <c r="H9" s="44" t="n">
        <f aca="false">Assumptions!C48*H5+Assumptions!C49*H6+Assumptions!C50*H7</f>
        <v>8.30132325790186</v>
      </c>
    </row>
    <row r="10" customFormat="false" ht="15" hidden="false" customHeight="false" outlineLevel="0" collapsed="false">
      <c r="B10" s="2" t="s">
        <v>97</v>
      </c>
    </row>
    <row r="13" customFormat="false" ht="15" hidden="false" customHeight="false" outlineLevel="0" collapsed="false">
      <c r="B13" s="3" t="s">
        <v>98</v>
      </c>
    </row>
    <row r="14" customFormat="false" ht="15" hidden="false" customHeight="false" outlineLevel="0" collapsed="false">
      <c r="B14" s="45" t="s">
        <v>99</v>
      </c>
      <c r="C14" s="46" t="n">
        <v>6</v>
      </c>
      <c r="D14" s="46" t="n">
        <v>8</v>
      </c>
      <c r="E14" s="46" t="n">
        <v>10</v>
      </c>
      <c r="F14" s="46" t="n">
        <v>12</v>
      </c>
      <c r="G14" s="46" t="n">
        <v>15</v>
      </c>
      <c r="H14" s="46" t="n">
        <v>18</v>
      </c>
    </row>
    <row r="15" customFormat="false" ht="15" hidden="false" customHeight="false" outlineLevel="0" collapsed="false">
      <c r="B15" s="47" t="n">
        <v>50</v>
      </c>
      <c r="C15" s="48" t="n">
        <f aca="false">$B15*6*Assumptions!$C$17/Assumptions!$C$6</f>
        <v>1.2792</v>
      </c>
      <c r="D15" s="48" t="n">
        <f aca="false">$B15*8*Assumptions!$C$17/Assumptions!$C$6</f>
        <v>1.7056</v>
      </c>
      <c r="E15" s="48" t="n">
        <f aca="false">$B15*10*Assumptions!$C$17/Assumptions!$C$6</f>
        <v>2.132</v>
      </c>
      <c r="F15" s="48" t="n">
        <f aca="false">$B15*12*Assumptions!$C$17/Assumptions!$C$6</f>
        <v>2.5584</v>
      </c>
      <c r="G15" s="48" t="n">
        <f aca="false">$B15*15*Assumptions!$C$17/Assumptions!$C$6</f>
        <v>3.198</v>
      </c>
      <c r="H15" s="48" t="n">
        <f aca="false">$B15*18*Assumptions!$C$17/Assumptions!$C$6</f>
        <v>3.8376</v>
      </c>
    </row>
    <row r="16" customFormat="false" ht="15" hidden="false" customHeight="false" outlineLevel="0" collapsed="false">
      <c r="B16" s="47" t="n">
        <v>100</v>
      </c>
      <c r="C16" s="48" t="n">
        <f aca="false">$B16*6*Assumptions!$C$17/Assumptions!$C$6</f>
        <v>2.5584</v>
      </c>
      <c r="D16" s="48" t="n">
        <f aca="false">$B16*8*Assumptions!$C$17/Assumptions!$C$6</f>
        <v>3.4112</v>
      </c>
      <c r="E16" s="48" t="n">
        <f aca="false">$B16*10*Assumptions!$C$17/Assumptions!$C$6</f>
        <v>4.264</v>
      </c>
      <c r="F16" s="48" t="n">
        <f aca="false">$B16*12*Assumptions!$C$17/Assumptions!$C$6</f>
        <v>5.1168</v>
      </c>
      <c r="G16" s="48" t="n">
        <f aca="false">$B16*15*Assumptions!$C$17/Assumptions!$C$6</f>
        <v>6.396</v>
      </c>
      <c r="H16" s="48" t="n">
        <f aca="false">$B16*18*Assumptions!$C$17/Assumptions!$C$6</f>
        <v>7.6752</v>
      </c>
    </row>
    <row r="17" customFormat="false" ht="15" hidden="false" customHeight="false" outlineLevel="0" collapsed="false">
      <c r="B17" s="47" t="n">
        <v>150</v>
      </c>
      <c r="C17" s="48" t="n">
        <f aca="false">$B17*6*Assumptions!$C$17/Assumptions!$C$6</f>
        <v>3.8376</v>
      </c>
      <c r="D17" s="48" t="n">
        <f aca="false">$B17*8*Assumptions!$C$17/Assumptions!$C$6</f>
        <v>5.1168</v>
      </c>
      <c r="E17" s="48" t="n">
        <f aca="false">$B17*10*Assumptions!$C$17/Assumptions!$C$6</f>
        <v>6.396</v>
      </c>
      <c r="F17" s="48" t="n">
        <f aca="false">$B17*12*Assumptions!$C$17/Assumptions!$C$6</f>
        <v>7.6752</v>
      </c>
      <c r="G17" s="48" t="n">
        <f aca="false">$B17*15*Assumptions!$C$17/Assumptions!$C$6</f>
        <v>9.594</v>
      </c>
      <c r="H17" s="48" t="n">
        <f aca="false">$B17*18*Assumptions!$C$17/Assumptions!$C$6</f>
        <v>11.5128</v>
      </c>
    </row>
    <row r="18" customFormat="false" ht="15" hidden="false" customHeight="false" outlineLevel="0" collapsed="false">
      <c r="B18" s="47" t="n">
        <v>200</v>
      </c>
      <c r="C18" s="48" t="n">
        <f aca="false">$B18*6*Assumptions!$C$17/Assumptions!$C$6</f>
        <v>5.1168</v>
      </c>
      <c r="D18" s="48" t="n">
        <f aca="false">$B18*8*Assumptions!$C$17/Assumptions!$C$6</f>
        <v>6.8224</v>
      </c>
      <c r="E18" s="48" t="n">
        <f aca="false">$B18*10*Assumptions!$C$17/Assumptions!$C$6</f>
        <v>8.528</v>
      </c>
      <c r="F18" s="48" t="n">
        <f aca="false">$B18*12*Assumptions!$C$17/Assumptions!$C$6</f>
        <v>10.2336</v>
      </c>
      <c r="G18" s="48" t="n">
        <f aca="false">$B18*15*Assumptions!$C$17/Assumptions!$C$6</f>
        <v>12.792</v>
      </c>
      <c r="H18" s="48" t="n">
        <f aca="false">$B18*18*Assumptions!$C$17/Assumptions!$C$6</f>
        <v>15.3504</v>
      </c>
    </row>
    <row r="19" customFormat="false" ht="15" hidden="false" customHeight="false" outlineLevel="0" collapsed="false">
      <c r="B19" s="47" t="n">
        <v>250</v>
      </c>
      <c r="C19" s="48" t="n">
        <f aca="false">$B19*6*Assumptions!$C$17/Assumptions!$C$6</f>
        <v>6.396</v>
      </c>
      <c r="D19" s="48" t="n">
        <f aca="false">$B19*8*Assumptions!$C$17/Assumptions!$C$6</f>
        <v>8.528</v>
      </c>
      <c r="E19" s="48" t="n">
        <f aca="false">$B19*10*Assumptions!$C$17/Assumptions!$C$6</f>
        <v>10.66</v>
      </c>
      <c r="F19" s="48" t="n">
        <f aca="false">$B19*12*Assumptions!$C$17/Assumptions!$C$6</f>
        <v>12.792</v>
      </c>
      <c r="G19" s="48" t="n">
        <f aca="false">$B19*15*Assumptions!$C$17/Assumptions!$C$6</f>
        <v>15.99</v>
      </c>
      <c r="H19" s="48" t="n">
        <f aca="false">$B19*18*Assumptions!$C$17/Assumptions!$C$6</f>
        <v>19.188</v>
      </c>
    </row>
    <row r="20" customFormat="false" ht="15" hidden="false" customHeight="false" outlineLevel="0" collapsed="false">
      <c r="B20" s="47" t="n">
        <v>300</v>
      </c>
      <c r="C20" s="48" t="n">
        <f aca="false">$B20*6*Assumptions!$C$17/Assumptions!$C$6</f>
        <v>7.6752</v>
      </c>
      <c r="D20" s="48" t="n">
        <f aca="false">$B20*8*Assumptions!$C$17/Assumptions!$C$6</f>
        <v>10.2336</v>
      </c>
      <c r="E20" s="48" t="n">
        <f aca="false">$B20*10*Assumptions!$C$17/Assumptions!$C$6</f>
        <v>12.792</v>
      </c>
      <c r="F20" s="48" t="n">
        <f aca="false">$B20*12*Assumptions!$C$17/Assumptions!$C$6</f>
        <v>15.3504</v>
      </c>
      <c r="G20" s="48" t="n">
        <f aca="false">$B20*15*Assumptions!$C$17/Assumptions!$C$6</f>
        <v>19.188</v>
      </c>
      <c r="H20" s="48" t="n">
        <f aca="false">$B20*18*Assumptions!$C$17/Assumptions!$C$6</f>
        <v>23.0256</v>
      </c>
    </row>
    <row r="21" customFormat="false" ht="15" hidden="false" customHeight="false" outlineLevel="0" collapsed="false">
      <c r="B21" s="47" t="n">
        <v>350</v>
      </c>
      <c r="C21" s="48" t="n">
        <f aca="false">$B21*6*Assumptions!$C$17/Assumptions!$C$6</f>
        <v>8.9544</v>
      </c>
      <c r="D21" s="48" t="n">
        <f aca="false">$B21*8*Assumptions!$C$17/Assumptions!$C$6</f>
        <v>11.9392</v>
      </c>
      <c r="E21" s="48" t="n">
        <f aca="false">$B21*10*Assumptions!$C$17/Assumptions!$C$6</f>
        <v>14.924</v>
      </c>
      <c r="F21" s="48" t="n">
        <f aca="false">$B21*12*Assumptions!$C$17/Assumptions!$C$6</f>
        <v>17.9088</v>
      </c>
      <c r="G21" s="48" t="n">
        <f aca="false">$B21*15*Assumptions!$C$17/Assumptions!$C$6</f>
        <v>22.386</v>
      </c>
      <c r="H21" s="48" t="n">
        <f aca="false">$B21*18*Assumptions!$C$17/Assumptions!$C$6</f>
        <v>26.8632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19.7" hidden="false" customHeight="false" outlineLevel="0" collapsed="false">
      <c r="B1" s="1" t="s">
        <v>100</v>
      </c>
    </row>
    <row r="2" customFormat="false" ht="15" hidden="false" customHeight="false" outlineLevel="0" collapsed="false">
      <c r="B2" s="2" t="s">
        <v>101</v>
      </c>
    </row>
    <row r="4" customFormat="false" ht="15" hidden="false" customHeight="false" outlineLevel="0" collapsed="false">
      <c r="B4" s="32" t="s">
        <v>102</v>
      </c>
      <c r="C4" s="32" t="s">
        <v>103</v>
      </c>
      <c r="D4" s="32" t="s">
        <v>104</v>
      </c>
      <c r="E4" s="32" t="s">
        <v>105</v>
      </c>
      <c r="F4" s="32" t="s">
        <v>106</v>
      </c>
      <c r="G4" s="32" t="s">
        <v>107</v>
      </c>
      <c r="H4" s="32" t="s">
        <v>108</v>
      </c>
    </row>
    <row r="5" customFormat="false" ht="15" hidden="false" customHeight="false" outlineLevel="0" collapsed="false">
      <c r="B5" s="49" t="s">
        <v>109</v>
      </c>
      <c r="C5" s="50" t="s">
        <v>110</v>
      </c>
      <c r="D5" s="50" t="s">
        <v>111</v>
      </c>
      <c r="E5" s="51" t="s">
        <v>112</v>
      </c>
      <c r="F5" s="50" t="s">
        <v>113</v>
      </c>
      <c r="G5" s="50" t="s">
        <v>114</v>
      </c>
      <c r="H5" s="50" t="s">
        <v>115</v>
      </c>
    </row>
    <row r="6" customFormat="false" ht="15" hidden="false" customHeight="false" outlineLevel="0" collapsed="false">
      <c r="B6" s="49" t="s">
        <v>116</v>
      </c>
      <c r="C6" s="50" t="s">
        <v>117</v>
      </c>
      <c r="D6" s="50" t="s">
        <v>118</v>
      </c>
      <c r="E6" s="51" t="s">
        <v>119</v>
      </c>
      <c r="F6" s="50" t="s">
        <v>120</v>
      </c>
      <c r="G6" s="50" t="s">
        <v>121</v>
      </c>
      <c r="H6" s="50" t="s">
        <v>122</v>
      </c>
    </row>
    <row r="7" customFormat="false" ht="15" hidden="false" customHeight="false" outlineLevel="0" collapsed="false">
      <c r="B7" s="49" t="s">
        <v>123</v>
      </c>
      <c r="C7" s="50" t="s">
        <v>124</v>
      </c>
      <c r="D7" s="50" t="s">
        <v>118</v>
      </c>
      <c r="E7" s="51" t="s">
        <v>125</v>
      </c>
      <c r="F7" s="50" t="s">
        <v>126</v>
      </c>
      <c r="G7" s="50" t="s">
        <v>127</v>
      </c>
      <c r="H7" s="50" t="s">
        <v>115</v>
      </c>
    </row>
    <row r="8" customFormat="false" ht="15" hidden="false" customHeight="false" outlineLevel="0" collapsed="false">
      <c r="B8" s="49" t="s">
        <v>128</v>
      </c>
      <c r="C8" s="50" t="s">
        <v>129</v>
      </c>
      <c r="D8" s="50" t="s">
        <v>118</v>
      </c>
      <c r="E8" s="50" t="s">
        <v>130</v>
      </c>
      <c r="F8" s="50" t="s">
        <v>126</v>
      </c>
      <c r="G8" s="50" t="s">
        <v>131</v>
      </c>
      <c r="H8" s="50" t="s">
        <v>132</v>
      </c>
    </row>
    <row r="9" customFormat="false" ht="15" hidden="false" customHeight="false" outlineLevel="0" collapsed="false">
      <c r="B9" s="49" t="s">
        <v>133</v>
      </c>
      <c r="C9" s="50" t="s">
        <v>134</v>
      </c>
      <c r="D9" s="50" t="s">
        <v>135</v>
      </c>
      <c r="E9" s="51" t="s">
        <v>136</v>
      </c>
      <c r="F9" s="50" t="s">
        <v>126</v>
      </c>
      <c r="G9" s="50" t="s">
        <v>126</v>
      </c>
      <c r="H9" s="50" t="s">
        <v>137</v>
      </c>
    </row>
    <row r="11" customFormat="false" ht="15" hidden="false" customHeight="false" outlineLevel="0" collapsed="false">
      <c r="B11" s="2" t="s">
        <v>138</v>
      </c>
    </row>
    <row r="13" customFormat="false" ht="15" hidden="false" customHeight="false" outlineLevel="0" collapsed="false">
      <c r="B13" s="3" t="s">
        <v>139</v>
      </c>
    </row>
    <row r="14" customFormat="false" ht="15" hidden="false" customHeight="false" outlineLevel="0" collapsed="false">
      <c r="B14" s="52" t="s">
        <v>140</v>
      </c>
    </row>
    <row r="15" customFormat="false" ht="15" hidden="false" customHeight="false" outlineLevel="0" collapsed="false">
      <c r="B15" s="52" t="s">
        <v>141</v>
      </c>
    </row>
    <row r="16" customFormat="false" ht="15" hidden="false" customHeight="false" outlineLevel="0" collapsed="false">
      <c r="B16" s="52" t="s">
        <v>142</v>
      </c>
    </row>
    <row r="17" customFormat="false" ht="15" hidden="false" customHeight="false" outlineLevel="0" collapsed="false">
      <c r="B17" s="52" t="s">
        <v>143</v>
      </c>
    </row>
    <row r="18" customFormat="false" ht="15" hidden="false" customHeight="false" outlineLevel="0" collapsed="false">
      <c r="B18" s="52" t="s">
        <v>144</v>
      </c>
    </row>
    <row r="19" customFormat="false" ht="15" hidden="false" customHeight="false" outlineLevel="0" collapsed="false">
      <c r="B19" s="52" t="s">
        <v>145</v>
      </c>
    </row>
    <row r="20" customFormat="false" ht="15" hidden="false" customHeight="false" outlineLevel="0" collapsed="false">
      <c r="B20" s="52" t="s">
        <v>146</v>
      </c>
    </row>
    <row r="22" customFormat="false" ht="15" hidden="false" customHeight="false" outlineLevel="0" collapsed="false">
      <c r="B22" s="3" t="s">
        <v>147</v>
      </c>
    </row>
    <row r="23" customFormat="false" ht="42" hidden="false" customHeight="true" outlineLevel="0" collapsed="false">
      <c r="B23" s="53" t="s">
        <v>148</v>
      </c>
      <c r="C23" s="53"/>
      <c r="D23" s="53"/>
      <c r="E23" s="53"/>
      <c r="F23" s="53"/>
      <c r="G23" s="53"/>
      <c r="H23" s="53"/>
    </row>
    <row r="24" customFormat="false" ht="42" hidden="false" customHeight="true" outlineLevel="0" collapsed="false">
      <c r="B24" s="53" t="s">
        <v>149</v>
      </c>
      <c r="C24" s="53"/>
      <c r="D24" s="53"/>
      <c r="E24" s="53"/>
      <c r="F24" s="53"/>
      <c r="G24" s="53"/>
      <c r="H24" s="53"/>
    </row>
    <row r="25" customFormat="false" ht="42" hidden="false" customHeight="true" outlineLevel="0" collapsed="false">
      <c r="B25" s="53" t="s">
        <v>150</v>
      </c>
      <c r="C25" s="53"/>
      <c r="D25" s="53"/>
      <c r="E25" s="53"/>
      <c r="F25" s="53"/>
      <c r="G25" s="53"/>
      <c r="H25" s="53"/>
    </row>
  </sheetData>
  <mergeCells count="3">
    <mergeCell ref="B23:H23"/>
    <mergeCell ref="B24:H24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2026-07-05T16:36:33Z</dcterms:created>
  <dc:creator>openpyxl</dc:creator>
  <dc:description/>
  <dc:language>en-US</dc:language>
  <cp:lastModifiedBy/>
  <dcterms:modified xsi:type="dcterms:W3CDTF">2026-07-05T16:36:33Z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