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Model_PnL" sheetId="3" state="visible" r:id="rId5"/>
    <sheet name="Ratios" sheetId="4" state="visible" r:id="rId6"/>
    <sheet name="Valu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<sst xmlns="http://schemas.openxmlformats.org/spreadsheetml/2006/main" count="176" uniqueCount="152">
  <si>
    <t xml:space="preserve">Five-Star Business Finance: NBFC Valuation Model</t>
  </si>
  <si>
    <t xml:space="preserve">Secured small-business lending to India's informal economy. Prepared as an assessment exercise; not investment advice.</t>
  </si>
  <si>
    <t xml:space="preserve">Scenario toggle  (1 = Bear, 2 = Base, 3 = Bull)</t>
  </si>
  <si>
    <t xml:space="preserve">&lt; selected</t>
  </si>
  <si>
    <t xml:space="preserve">HEADLINE  (selected scenario)</t>
  </si>
  <si>
    <t xml:space="preserve">SCENARIO SETUPS</t>
  </si>
  <si>
    <t xml:space="preserve">Bear</t>
  </si>
  <si>
    <t xml:space="preserve">Base</t>
  </si>
  <si>
    <t xml:space="preserve">Bull</t>
  </si>
  <si>
    <t xml:space="preserve">Current share price (Rs)</t>
  </si>
  <si>
    <t xml:space="preserve">AUM growth</t>
  </si>
  <si>
    <t xml:space="preserve">Current market cap (Rs Cr)</t>
  </si>
  <si>
    <t xml:space="preserve">Loan yield</t>
  </si>
  <si>
    <t xml:space="preserve">Expected IRR at current price (4-yr)</t>
  </si>
  <si>
    <t xml:space="preserve">Cost of funds</t>
  </si>
  <si>
    <t xml:space="preserve">Money multiple (MOIC)</t>
  </si>
  <si>
    <t xml:space="preserve">Opex / AUM</t>
  </si>
  <si>
    <t xml:space="preserve">Max entry price for 20% IRR (Rs)</t>
  </si>
  <si>
    <t xml:space="preserve">Credit cost</t>
  </si>
  <si>
    <t xml:space="preserve">Upside / (downside) to max entry</t>
  </si>
  <si>
    <t xml:space="preserve">Exit P/E</t>
  </si>
  <si>
    <t xml:space="preserve">Exit P/E assumed (x)</t>
  </si>
  <si>
    <t xml:space="preserve">Exit equity value FY30 (Rs Cr)</t>
  </si>
  <si>
    <t xml:space="preserve">Implied exit P/B (x)</t>
  </si>
  <si>
    <t xml:space="preserve">MODEL HIGHLIGHTS  (selected scenario)</t>
  </si>
  <si>
    <t xml:space="preserve">FY30 AUM (Rs Cr)</t>
  </si>
  <si>
    <t xml:space="preserve">FY30 PAT (Rs Cr)</t>
  </si>
  <si>
    <t xml:space="preserve">PAT CAGR FY26 to FY30</t>
  </si>
  <si>
    <t xml:space="preserve">Average ROA FY27 to FY30</t>
  </si>
  <si>
    <t xml:space="preserve">Average ROE FY27 to FY30</t>
  </si>
  <si>
    <t xml:space="preserve">FY30 debt-to-equity (x)</t>
  </si>
  <si>
    <t xml:space="preserve">INVESTMENT VIEW</t>
  </si>
  <si>
    <t xml:space="preserve">- Five-Star is a best-in-class underwriter of informal-economy credit: ROA near 7% and yields above 24% on conservative leverage, with a 20-year, in-house, secured (3C) lending model.</t>
  </si>
  <si>
    <t xml:space="preserve">- FY26 profit was flat as management deliberately slowed disbursements to protect asset quality through a small-ticket credit-cycle stress; the model did not break and slippage is recovering.</t>
  </si>
  <si>
    <t xml:space="preserve">- The stock has de-rated ~30% on private-equity selling and the growth wobble, leaving it at the cheapest multiple in its peer set (~12x earnings, ~1.8x book) despite top-tier returns.</t>
  </si>
  <si>
    <t xml:space="preserve">- Base case clears the bar: with AUM growth near the ~20% guide and a re-rating toward ~15x earnings, the four-year IRR at the current price runs in the low-20s, leaving modest headroom on entry price (max entry ~Rs 520).</t>
  </si>
  <si>
    <t xml:space="preserve">- The result is highly sensitive to the exit multiple: a bull re-rate compounds to a high-30s IRR, while a bear de-rating to ~10x with slower growth leaves the return near zero. The multiple, in turn, tracks whether growth re-accelerates.</t>
  </si>
  <si>
    <t xml:space="preserve">- Risks to underwrite: a narrowing (replicable) moat, geographic concentration, wholesale-only funding, weak recovery tools (no SARFAESI below Rs 20 lakh), and a falling promoter stake as backers exit.</t>
  </si>
  <si>
    <t xml:space="preserve">- Verdict: a constructive accumulator at this valuation for investors who can underwrite the moat and tolerate the overhang; not a passive, wide-moat compounder.</t>
  </si>
  <si>
    <t xml:space="preserve">Five-Star Business Finance  |  Model Assumptions</t>
  </si>
  <si>
    <t xml:space="preserve">Rs Cr unless stated. Blue = input; black = formula; green = cross-sheet link. Scenario toggle on Summary.</t>
  </si>
  <si>
    <t xml:space="preserve">Driver</t>
  </si>
  <si>
    <t xml:space="preserve">Selected</t>
  </si>
  <si>
    <t xml:space="preserve">Notes</t>
  </si>
  <si>
    <t xml:space="preserve">OPERATING DRIVERS</t>
  </si>
  <si>
    <t xml:space="preserve">AUM growth (per year)</t>
  </si>
  <si>
    <t xml:space="preserve">FY27 management guide ~20%</t>
  </si>
  <si>
    <t xml:space="preserve">Loan yield (% of avg AUM)</t>
  </si>
  <si>
    <t xml:space="preserve">Gross portfolio yield, mid-20s</t>
  </si>
  <si>
    <t xml:space="preserve">Cost of funds (% of borrowings)</t>
  </si>
  <si>
    <t xml:space="preserve">Wholesale funding</t>
  </si>
  <si>
    <t xml:space="preserve">Cash &amp; investment yield</t>
  </si>
  <si>
    <t xml:space="preserve">Treasury yield on buffer</t>
  </si>
  <si>
    <t xml:space="preserve">Other income (% of avg AUM)</t>
  </si>
  <si>
    <t xml:space="preserve">Fees and ancillary income</t>
  </si>
  <si>
    <t xml:space="preserve">Operating expenses (% of avg AUM)</t>
  </si>
  <si>
    <t xml:space="preserve">High-touch model</t>
  </si>
  <si>
    <t xml:space="preserve">Credit cost (% of avg AUM)</t>
  </si>
  <si>
    <t xml:space="preserve">FY26 ~1.9%; FY27 guide 1.7 to 1.75%</t>
  </si>
  <si>
    <t xml:space="preserve">Cash &amp; investments (% of AUM)</t>
  </si>
  <si>
    <t xml:space="preserve">Liquidity buffer, declines over time</t>
  </si>
  <si>
    <t xml:space="preserve">Tax rate</t>
  </si>
  <si>
    <t xml:space="preserve">Effective tax ~25%</t>
  </si>
  <si>
    <t xml:space="preserve">Dividend payout</t>
  </si>
  <si>
    <t xml:space="preserve">~Rs 2 per share on FY26 EPS</t>
  </si>
  <si>
    <t xml:space="preserve">VALUATION DRIVERS</t>
  </si>
  <si>
    <t xml:space="preserve">Exit P/E multiple</t>
  </si>
  <si>
    <t xml:space="preserve">Current ~12x; Base assumes modest re-rating</t>
  </si>
  <si>
    <t xml:space="preserve">Hold period (years)</t>
  </si>
  <si>
    <t xml:space="preserve">Four-year hold</t>
  </si>
  <si>
    <t xml:space="preserve">ANCHORS  (FY26 actuals / market)</t>
  </si>
  <si>
    <t xml:space="preserve">NSE, June 2026 (approx)</t>
  </si>
  <si>
    <t xml:space="preserve">Shares outstanding (Cr)</t>
  </si>
  <si>
    <t xml:space="preserve">~29.5 crore shares</t>
  </si>
  <si>
    <t xml:space="preserve">FY26 AUM (Rs Cr)</t>
  </si>
  <si>
    <t xml:space="preserve">Reported FY26 AUM</t>
  </si>
  <si>
    <t xml:space="preserve">FY26 net worth (Rs Cr)</t>
  </si>
  <si>
    <t xml:space="preserve">Estimated FY26 closing net worth</t>
  </si>
  <si>
    <t xml:space="preserve">FY26 cash &amp; investments (Rs Cr)</t>
  </si>
  <si>
    <t xml:space="preserve">~20% of AUM</t>
  </si>
  <si>
    <t xml:space="preserve">Five-Star Business Finance  |  Projection Model (Rs Cr)</t>
  </si>
  <si>
    <t xml:space="preserve">FY26 actual anchor; FY27 to FY30 driven by selected-scenario assumptions.</t>
  </si>
  <si>
    <t xml:space="preserve">FY26A</t>
  </si>
  <si>
    <t xml:space="preserve">FY27E</t>
  </si>
  <si>
    <t xml:space="preserve">FY28E</t>
  </si>
  <si>
    <t xml:space="preserve">FY29E</t>
  </si>
  <si>
    <t xml:space="preserve">FY30E</t>
  </si>
  <si>
    <t xml:space="preserve">AUM AND BALANCE SHEET</t>
  </si>
  <si>
    <t xml:space="preserve">AUM (closing)</t>
  </si>
  <si>
    <t xml:space="preserve">Average AUM</t>
  </si>
  <si>
    <t xml:space="preserve">Cash and investments</t>
  </si>
  <si>
    <t xml:space="preserve">Total assets</t>
  </si>
  <si>
    <t xml:space="preserve">Net worth (closing)</t>
  </si>
  <si>
    <t xml:space="preserve">Borrowings (closing)</t>
  </si>
  <si>
    <t xml:space="preserve">PROFIT AND LOSS</t>
  </si>
  <si>
    <t xml:space="preserve">Interest income - loans</t>
  </si>
  <si>
    <t xml:space="preserve">Interest income - cash and investments</t>
  </si>
  <si>
    <t xml:space="preserve">Total interest income</t>
  </si>
  <si>
    <t xml:space="preserve">Interest expense (on opening borrowings)</t>
  </si>
  <si>
    <t xml:space="preserve">Net interest income (NII)</t>
  </si>
  <si>
    <t xml:space="preserve">Other income</t>
  </si>
  <si>
    <t xml:space="preserve">Net total income</t>
  </si>
  <si>
    <t xml:space="preserve">Operating expenses</t>
  </si>
  <si>
    <t xml:space="preserve">Pre-provision operating profit (PPOP)</t>
  </si>
  <si>
    <t xml:space="preserve">Credit cost (provisions)</t>
  </si>
  <si>
    <t xml:space="preserve">Profit before tax</t>
  </si>
  <si>
    <t xml:space="preserve">Profit after tax (PAT)</t>
  </si>
  <si>
    <t xml:space="preserve">Dividends paid</t>
  </si>
  <si>
    <t xml:space="preserve">Memo: EPS (Rs)</t>
  </si>
  <si>
    <t xml:space="preserve">Memo: tax</t>
  </si>
  <si>
    <t xml:space="preserve">Note: interest expense uses opening (prior-year closing) borrowings to avoid circularity. FY26 P&amp;L shows reported headline only.</t>
  </si>
  <si>
    <t xml:space="preserve">Five-Star Business Finance  |  Key Ratios</t>
  </si>
  <si>
    <t xml:space="preserve">Profitability, margins, efficiency and leverage. Green = pulled from Model_PnL.</t>
  </si>
  <si>
    <t xml:space="preserve">GROWTH</t>
  </si>
  <si>
    <t xml:space="preserve">PAT growth</t>
  </si>
  <si>
    <t xml:space="preserve">MARGINS  (% of average AUM)</t>
  </si>
  <si>
    <t xml:space="preserve">Net interest margin</t>
  </si>
  <si>
    <t xml:space="preserve">Cost of funds (on avg borrowings)</t>
  </si>
  <si>
    <t xml:space="preserve">EFFICIENCY AND RETURNS</t>
  </si>
  <si>
    <t xml:space="preserve">Cost-to-income</t>
  </si>
  <si>
    <t xml:space="preserve">Return on assets</t>
  </si>
  <si>
    <t xml:space="preserve">Return on equity</t>
  </si>
  <si>
    <t xml:space="preserve">LEVERAGE AND PER-SHARE</t>
  </si>
  <si>
    <t xml:space="preserve">Debt-to-equity (closing)</t>
  </si>
  <si>
    <t xml:space="preserve">EPS (Rs)</t>
  </si>
  <si>
    <t xml:space="preserve">Book value per share (Rs)</t>
  </si>
  <si>
    <t xml:space="preserve">Dividend per share (Rs)</t>
  </si>
  <si>
    <t xml:space="preserve">Five-Star Business Finance  |  Valuation and IRR</t>
  </si>
  <si>
    <t xml:space="preserve">Four-year hold, exit on FY30 earnings. Max entry price solves for a 20% IRR.</t>
  </si>
  <si>
    <t xml:space="preserve">INPUTS</t>
  </si>
  <si>
    <t xml:space="preserve">Hurdle rate (target IRR)</t>
  </si>
  <si>
    <t xml:space="preserve">Input: required return</t>
  </si>
  <si>
    <t xml:space="preserve">EXIT VALUE  (END OF FY30)</t>
  </si>
  <si>
    <t xml:space="preserve">Exit-year PAT (FY30, Rs Cr)</t>
  </si>
  <si>
    <t xml:space="preserve">Exit-year net worth (FY30, Rs Cr)</t>
  </si>
  <si>
    <t xml:space="preserve">Exit equity value (Rs Cr)</t>
  </si>
  <si>
    <t xml:space="preserve">CASH FLOWS TO EQUITY  (Rs Cr)</t>
  </si>
  <si>
    <t xml:space="preserve">Year</t>
  </si>
  <si>
    <t xml:space="preserve">0 (now)</t>
  </si>
  <si>
    <t xml:space="preserve">1 (FY27)</t>
  </si>
  <si>
    <t xml:space="preserve">2 (FY28)</t>
  </si>
  <si>
    <t xml:space="preserve">3 (FY29)</t>
  </si>
  <si>
    <t xml:space="preserve">4 (FY30)</t>
  </si>
  <si>
    <t xml:space="preserve">Dividends</t>
  </si>
  <si>
    <t xml:space="preserve">Entry / exit equity</t>
  </si>
  <si>
    <t xml:space="preserve">Net cash flow</t>
  </si>
  <si>
    <t xml:space="preserve">RESULTS</t>
  </si>
  <si>
    <t xml:space="preserve">Max entry market cap for 20% IRR (Rs Cr)</t>
  </si>
  <si>
    <t xml:space="preserve">SENSITIVITY  |  exit P/E versus outcome</t>
  </si>
  <si>
    <t xml:space="preserve">Exit P/E (x)</t>
  </si>
  <si>
    <t xml:space="preserve">IRR at current price (approx, 4-yr)</t>
  </si>
  <si>
    <t xml:space="preserve">Approximate IRR treats dividends as received at exit; the headline IRR above uses dated cash flows.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</si>
</sst>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;\(#,##0\);\-"/>
    <numFmt numFmtId="167" formatCode="0.0%;\(0.0%\);\-"/>
    <numFmt numFmtId="168" formatCode="0.0\x;\(0.0&quot;x)&quot;;\-"/>
    <numFmt numFmtId="169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6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1F3A63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.5"/>
      <color rgb="FF777777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4F2"/>
        <bgColor rgb="FFC9D2E0"/>
      </patternFill>
    </fill>
    <fill>
      <patternFill patternType="solid">
        <fgColor rgb="FFFCEBCB"/>
        <bgColor rgb="FFDCE4F2"/>
      </patternFill>
    </fill>
    <fill>
      <patternFill patternType="solid">
        <fgColor rgb="FF2E4D78"/>
        <bgColor rgb="FF1F3A63"/>
      </patternFill>
    </fill>
    <fill>
      <patternFill patternType="solid">
        <fgColor rgb="FF1F3A63"/>
        <bgColor rgb="FF2E4D7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 diagonalUp="false" diagonalDown="false">
      <left style="thin">
        <color rgb="FFC9D2E0"/>
      </left>
      <right/>
      <top style="thin">
        <color rgb="FFC9D2E0"/>
      </top>
      <bottom style="thin">
        <color rgb="FFC9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1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CEBCB"/>
      <rgbColor rgb="FFDCE4F2"/>
      <rgbColor rgb="FF660066"/>
      <rgbColor rgb="FFFF8080"/>
      <rgbColor rgb="FF0066CC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63"/>
      <rgbColor rgb="FF339966"/>
      <rgbColor rgb="FF003300"/>
      <rgbColor rgb="FF333300"/>
      <rgbColor rgb="FF993300"/>
      <rgbColor rgb="FF993366"/>
      <rgbColor rgb="FF2E4D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7" min="5" style="1" width="13"/>
    <col collapsed="false" customWidth="true" hidden="false" outlineLevel="0" max="8" min="8" style="1" width="12"/>
  </cols>
  <sheetData>
    <row r="1" customFormat="false" ht="18.5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C4" s="5" t="n">
        <v>2</v>
      </c>
      <c r="D4" s="6" t="str">
        <f aca="false">CHOOSE(C4,"Bear case","Base case","Bull case")</f>
        <v>Base case</v>
      </c>
      <c r="E4" s="7" t="s">
        <v>3</v>
      </c>
    </row>
    <row r="6" customFormat="false" ht="15" hidden="false" customHeight="false" outlineLevel="0" collapsed="false">
      <c r="A6" s="8" t="s">
        <v>4</v>
      </c>
      <c r="B6" s="8"/>
      <c r="C6" s="8"/>
      <c r="D6" s="9" t="s">
        <v>5</v>
      </c>
      <c r="E6" s="10" t="s">
        <v>6</v>
      </c>
      <c r="F6" s="10" t="s">
        <v>7</v>
      </c>
      <c r="G6" s="10" t="s">
        <v>8</v>
      </c>
    </row>
    <row r="7" customFormat="false" ht="15" hidden="false" customHeight="false" outlineLevel="0" collapsed="false">
      <c r="A7" s="11" t="s">
        <v>9</v>
      </c>
      <c r="B7" s="12" t="n">
        <f aca="false">Valuation!B5</f>
        <v>480</v>
      </c>
      <c r="D7" s="13" t="s">
        <v>10</v>
      </c>
      <c r="E7" s="14" t="n">
        <f aca="false">Assumptions!$B$5</f>
        <v>0.12</v>
      </c>
      <c r="F7" s="14" t="n">
        <f aca="false">Assumptions!$C$5</f>
        <v>0.19</v>
      </c>
      <c r="G7" s="14" t="n">
        <f aca="false">Assumptions!$D$5</f>
        <v>0.24</v>
      </c>
    </row>
    <row r="8" customFormat="false" ht="15" hidden="false" customHeight="false" outlineLevel="0" collapsed="false">
      <c r="A8" s="11" t="s">
        <v>11</v>
      </c>
      <c r="B8" s="12" t="n">
        <f aca="false">Valuation!B7</f>
        <v>14140.8</v>
      </c>
      <c r="D8" s="13" t="s">
        <v>12</v>
      </c>
      <c r="E8" s="14" t="n">
        <f aca="false">Assumptions!$B$6</f>
        <v>0.23</v>
      </c>
      <c r="F8" s="14" t="n">
        <f aca="false">Assumptions!$C$6</f>
        <v>0.235</v>
      </c>
      <c r="G8" s="14" t="n">
        <f aca="false">Assumptions!$D$6</f>
        <v>0.24</v>
      </c>
    </row>
    <row r="9" customFormat="false" ht="15" hidden="false" customHeight="false" outlineLevel="0" collapsed="false">
      <c r="A9" s="15" t="s">
        <v>13</v>
      </c>
      <c r="B9" s="16" t="n">
        <f aca="false">Valuation!B25</f>
        <v>0.225201730479426</v>
      </c>
      <c r="D9" s="13" t="s">
        <v>14</v>
      </c>
      <c r="E9" s="14" t="n">
        <f aca="false">Assumptions!$B$7</f>
        <v>0.102</v>
      </c>
      <c r="F9" s="14" t="n">
        <f aca="false">Assumptions!$C$7</f>
        <v>0.097</v>
      </c>
      <c r="G9" s="14" t="n">
        <f aca="false">Assumptions!$D$7</f>
        <v>0.092</v>
      </c>
    </row>
    <row r="10" customFormat="false" ht="15" hidden="false" customHeight="false" outlineLevel="0" collapsed="false">
      <c r="A10" s="11" t="s">
        <v>15</v>
      </c>
      <c r="B10" s="17" t="n">
        <f aca="false">Valuation!B26</f>
        <v>2.24403154770008</v>
      </c>
      <c r="D10" s="13" t="s">
        <v>16</v>
      </c>
      <c r="E10" s="14" t="n">
        <f aca="false">Assumptions!$B$10</f>
        <v>0.07</v>
      </c>
      <c r="F10" s="14" t="n">
        <f aca="false">Assumptions!$C$10</f>
        <v>0.064</v>
      </c>
      <c r="G10" s="14" t="n">
        <f aca="false">Assumptions!$D$10</f>
        <v>0.06</v>
      </c>
    </row>
    <row r="11" customFormat="false" ht="15" hidden="false" customHeight="false" outlineLevel="0" collapsed="false">
      <c r="A11" s="15" t="s">
        <v>17</v>
      </c>
      <c r="B11" s="18" t="n">
        <f aca="false">Valuation!B28</f>
        <v>521.340675372837</v>
      </c>
      <c r="D11" s="13" t="s">
        <v>18</v>
      </c>
      <c r="E11" s="14" t="n">
        <f aca="false">Assumptions!$B$11</f>
        <v>0.023</v>
      </c>
      <c r="F11" s="14" t="n">
        <f aca="false">Assumptions!$C$11</f>
        <v>0.016</v>
      </c>
      <c r="G11" s="14" t="n">
        <f aca="false">Assumptions!$D$11</f>
        <v>0.013</v>
      </c>
    </row>
    <row r="12" customFormat="false" ht="15" hidden="false" customHeight="false" outlineLevel="0" collapsed="false">
      <c r="A12" s="11" t="s">
        <v>19</v>
      </c>
      <c r="B12" s="19" t="n">
        <f aca="false">Valuation!B29</f>
        <v>0.0861264070267438</v>
      </c>
      <c r="D12" s="13" t="s">
        <v>20</v>
      </c>
      <c r="E12" s="20" t="n">
        <f aca="false">Assumptions!$B$16</f>
        <v>10</v>
      </c>
      <c r="F12" s="20" t="n">
        <f aca="false">Assumptions!$C$16</f>
        <v>15</v>
      </c>
      <c r="G12" s="20" t="n">
        <f aca="false">Assumptions!$D$16</f>
        <v>18</v>
      </c>
    </row>
    <row r="13" customFormat="false" ht="15" hidden="false" customHeight="false" outlineLevel="0" collapsed="false">
      <c r="A13" s="11" t="s">
        <v>21</v>
      </c>
      <c r="B13" s="17" t="n">
        <f aca="false">Valuation!B9</f>
        <v>15</v>
      </c>
    </row>
    <row r="14" customFormat="false" ht="15" hidden="false" customHeight="false" outlineLevel="0" collapsed="false">
      <c r="A14" s="11" t="s">
        <v>22</v>
      </c>
      <c r="B14" s="12" t="n">
        <f aca="false">Valuation!B15</f>
        <v>31335.9204394621</v>
      </c>
    </row>
    <row r="15" customFormat="false" ht="15" hidden="false" customHeight="false" outlineLevel="0" collapsed="false">
      <c r="A15" s="11" t="s">
        <v>23</v>
      </c>
      <c r="B15" s="17" t="n">
        <f aca="false">Valuation!B16</f>
        <v>2.30215942465122</v>
      </c>
    </row>
    <row r="17" customFormat="false" ht="15" hidden="false" customHeight="false" outlineLevel="0" collapsed="false">
      <c r="A17" s="8" t="s">
        <v>24</v>
      </c>
      <c r="B17" s="8"/>
      <c r="C17" s="8"/>
    </row>
    <row r="18" customFormat="false" ht="15" hidden="false" customHeight="false" outlineLevel="0" collapsed="false">
      <c r="A18" s="13" t="s">
        <v>25</v>
      </c>
      <c r="B18" s="21" t="n">
        <f aca="false">Model_PnL!F5</f>
        <v>26520.61105225</v>
      </c>
    </row>
    <row r="19" customFormat="false" ht="15" hidden="false" customHeight="false" outlineLevel="0" collapsed="false">
      <c r="A19" s="13" t="s">
        <v>26</v>
      </c>
      <c r="B19" s="21" t="n">
        <f aca="false">Model_PnL!F24</f>
        <v>2089.06136263081</v>
      </c>
    </row>
    <row r="20" customFormat="false" ht="15" hidden="false" customHeight="false" outlineLevel="0" collapsed="false">
      <c r="A20" s="13" t="s">
        <v>27</v>
      </c>
      <c r="B20" s="22" t="n">
        <f aca="false">(Model_PnL!F24/Model_PnL!B24)^(1/4)-1</f>
        <v>0.17418999653225</v>
      </c>
    </row>
    <row r="21" customFormat="false" ht="15" hidden="false" customHeight="false" outlineLevel="0" collapsed="false">
      <c r="A21" s="13" t="s">
        <v>28</v>
      </c>
      <c r="B21" s="22" t="n">
        <f aca="false">AVERAGE(Ratios!C14:F14)</f>
        <v>0.0741092974582379</v>
      </c>
    </row>
    <row r="22" customFormat="false" ht="15" hidden="false" customHeight="false" outlineLevel="0" collapsed="false">
      <c r="A22" s="13" t="s">
        <v>29</v>
      </c>
      <c r="B22" s="22" t="n">
        <f aca="false">AVERAGE(Ratios!C15:F15)</f>
        <v>0.161771208542965</v>
      </c>
    </row>
    <row r="23" customFormat="false" ht="15" hidden="false" customHeight="false" outlineLevel="0" collapsed="false">
      <c r="A23" s="13" t="s">
        <v>30</v>
      </c>
      <c r="B23" s="23" t="n">
        <f aca="false">Ratios!F17</f>
        <v>1.26013538575648</v>
      </c>
    </row>
    <row r="25" customFormat="false" ht="15" hidden="false" customHeight="false" outlineLevel="0" collapsed="false">
      <c r="A25" s="8" t="s">
        <v>31</v>
      </c>
      <c r="B25" s="8"/>
      <c r="C25" s="8"/>
      <c r="D25" s="8"/>
      <c r="E25" s="8"/>
      <c r="F25" s="8"/>
      <c r="G25" s="8"/>
      <c r="H25" s="8"/>
    </row>
    <row r="26" customFormat="false" ht="30" hidden="false" customHeight="true" outlineLevel="0" collapsed="false">
      <c r="A26" s="24" t="s">
        <v>32</v>
      </c>
      <c r="B26" s="24"/>
      <c r="C26" s="24"/>
      <c r="D26" s="24"/>
      <c r="E26" s="24"/>
      <c r="F26" s="24"/>
      <c r="G26" s="24"/>
      <c r="H26" s="24"/>
    </row>
    <row r="27" customFormat="false" ht="30" hidden="false" customHeight="true" outlineLevel="0" collapsed="false">
      <c r="A27" s="24" t="s">
        <v>33</v>
      </c>
      <c r="B27" s="24"/>
      <c r="C27" s="24"/>
      <c r="D27" s="24"/>
      <c r="E27" s="24"/>
      <c r="F27" s="24"/>
      <c r="G27" s="24"/>
      <c r="H27" s="24"/>
    </row>
    <row r="28" customFormat="false" ht="30" hidden="false" customHeight="true" outlineLevel="0" collapsed="false">
      <c r="A28" s="24" t="s">
        <v>34</v>
      </c>
      <c r="B28" s="24"/>
      <c r="C28" s="24"/>
      <c r="D28" s="24"/>
      <c r="E28" s="24"/>
      <c r="F28" s="24"/>
      <c r="G28" s="24"/>
      <c r="H28" s="24"/>
    </row>
    <row r="29" customFormat="false" ht="30" hidden="false" customHeight="true" outlineLevel="0" collapsed="false">
      <c r="A29" s="24" t="s">
        <v>35</v>
      </c>
      <c r="B29" s="24"/>
      <c r="C29" s="24"/>
      <c r="D29" s="24"/>
      <c r="E29" s="24"/>
      <c r="F29" s="24"/>
      <c r="G29" s="24"/>
      <c r="H29" s="24"/>
    </row>
    <row r="30" customFormat="false" ht="30" hidden="false" customHeight="true" outlineLevel="0" collapsed="false">
      <c r="A30" s="24" t="s">
        <v>36</v>
      </c>
      <c r="B30" s="24"/>
      <c r="C30" s="24"/>
      <c r="D30" s="24"/>
      <c r="E30" s="24"/>
      <c r="F30" s="24"/>
      <c r="G30" s="24"/>
      <c r="H30" s="24"/>
    </row>
    <row r="31" customFormat="false" ht="30" hidden="false" customHeight="true" outlineLevel="0" collapsed="false">
      <c r="A31" s="24" t="s">
        <v>37</v>
      </c>
      <c r="B31" s="24"/>
      <c r="C31" s="24"/>
      <c r="D31" s="24"/>
      <c r="E31" s="24"/>
      <c r="F31" s="24"/>
      <c r="G31" s="24"/>
      <c r="H31" s="24"/>
    </row>
    <row r="32" customFormat="false" ht="30" hidden="false" customHeight="true" outlineLevel="0" collapsed="false">
      <c r="A32" s="24" t="s">
        <v>38</v>
      </c>
      <c r="B32" s="24"/>
      <c r="C32" s="24"/>
      <c r="D32" s="24"/>
      <c r="E32" s="24"/>
      <c r="F32" s="24"/>
      <c r="G32" s="24"/>
      <c r="H32" s="24"/>
    </row>
  </sheetData>
  <mergeCells count="10">
    <mergeCell ref="A6:C6"/>
    <mergeCell ref="A17:C17"/>
    <mergeCell ref="A25:H25"/>
    <mergeCell ref="A26:H26"/>
    <mergeCell ref="A27:H27"/>
    <mergeCell ref="A28:H28"/>
    <mergeCell ref="A29:H29"/>
    <mergeCell ref="A30:H30"/>
    <mergeCell ref="A31:H31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3"/>
    <col collapsed="false" customWidth="true" hidden="false" outlineLevel="0" max="5" min="5" style="1" width="14"/>
    <col collapsed="false" customWidth="true" hidden="false" outlineLevel="0" max="6" min="6" style="1" width="32"/>
  </cols>
  <sheetData>
    <row r="1" customFormat="false" ht="18.55" hidden="false" customHeight="false" outlineLevel="0" collapsed="false">
      <c r="A1" s="2" t="s">
        <v>39</v>
      </c>
    </row>
    <row r="2" customFormat="false" ht="15" hidden="false" customHeight="false" outlineLevel="0" collapsed="false">
      <c r="A2" s="3" t="s">
        <v>40</v>
      </c>
    </row>
    <row r="3" customFormat="false" ht="15" hidden="false" customHeight="false" outlineLevel="0" collapsed="false">
      <c r="A3" s="9" t="s">
        <v>41</v>
      </c>
      <c r="B3" s="10" t="s">
        <v>6</v>
      </c>
      <c r="C3" s="10" t="s">
        <v>7</v>
      </c>
      <c r="D3" s="10" t="s">
        <v>8</v>
      </c>
      <c r="E3" s="10" t="s">
        <v>42</v>
      </c>
      <c r="F3" s="9" t="s">
        <v>43</v>
      </c>
    </row>
    <row r="4" customFormat="false" ht="15" hidden="false" customHeight="false" outlineLevel="0" collapsed="false">
      <c r="A4" s="8" t="s">
        <v>44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13" t="s">
        <v>45</v>
      </c>
      <c r="B5" s="25" t="n">
        <v>0.12</v>
      </c>
      <c r="C5" s="25" t="n">
        <v>0.19</v>
      </c>
      <c r="D5" s="25" t="n">
        <v>0.24</v>
      </c>
      <c r="E5" s="26" t="n">
        <f aca="false">CHOOSE(Summary!$C$4,B5,C5,D5)</f>
        <v>0.19</v>
      </c>
      <c r="F5" s="27" t="s">
        <v>46</v>
      </c>
    </row>
    <row r="6" customFormat="false" ht="15" hidden="false" customHeight="false" outlineLevel="0" collapsed="false">
      <c r="A6" s="13" t="s">
        <v>47</v>
      </c>
      <c r="B6" s="25" t="n">
        <v>0.23</v>
      </c>
      <c r="C6" s="25" t="n">
        <v>0.235</v>
      </c>
      <c r="D6" s="25" t="n">
        <v>0.24</v>
      </c>
      <c r="E6" s="26" t="n">
        <f aca="false">CHOOSE(Summary!$C$4,B6,C6,D6)</f>
        <v>0.235</v>
      </c>
      <c r="F6" s="27" t="s">
        <v>48</v>
      </c>
    </row>
    <row r="7" customFormat="false" ht="15" hidden="false" customHeight="false" outlineLevel="0" collapsed="false">
      <c r="A7" s="13" t="s">
        <v>49</v>
      </c>
      <c r="B7" s="25" t="n">
        <v>0.102</v>
      </c>
      <c r="C7" s="25" t="n">
        <v>0.097</v>
      </c>
      <c r="D7" s="25" t="n">
        <v>0.092</v>
      </c>
      <c r="E7" s="26" t="n">
        <f aca="false">CHOOSE(Summary!$C$4,B7,C7,D7)</f>
        <v>0.097</v>
      </c>
      <c r="F7" s="27" t="s">
        <v>50</v>
      </c>
    </row>
    <row r="8" customFormat="false" ht="15" hidden="false" customHeight="false" outlineLevel="0" collapsed="false">
      <c r="A8" s="13" t="s">
        <v>51</v>
      </c>
      <c r="B8" s="25" t="n">
        <v>0.06</v>
      </c>
      <c r="C8" s="25" t="n">
        <v>0.06</v>
      </c>
      <c r="D8" s="25" t="n">
        <v>0.06</v>
      </c>
      <c r="E8" s="26" t="n">
        <f aca="false">CHOOSE(Summary!$C$4,B8,C8,D8)</f>
        <v>0.06</v>
      </c>
      <c r="F8" s="27" t="s">
        <v>52</v>
      </c>
    </row>
    <row r="9" customFormat="false" ht="15" hidden="false" customHeight="false" outlineLevel="0" collapsed="false">
      <c r="A9" s="13" t="s">
        <v>53</v>
      </c>
      <c r="B9" s="25" t="n">
        <v>0.005</v>
      </c>
      <c r="C9" s="25" t="n">
        <v>0.006</v>
      </c>
      <c r="D9" s="25" t="n">
        <v>0.007</v>
      </c>
      <c r="E9" s="26" t="n">
        <f aca="false">CHOOSE(Summary!$C$4,B9,C9,D9)</f>
        <v>0.006</v>
      </c>
      <c r="F9" s="27" t="s">
        <v>54</v>
      </c>
    </row>
    <row r="10" customFormat="false" ht="15" hidden="false" customHeight="false" outlineLevel="0" collapsed="false">
      <c r="A10" s="13" t="s">
        <v>55</v>
      </c>
      <c r="B10" s="25" t="n">
        <v>0.07</v>
      </c>
      <c r="C10" s="25" t="n">
        <v>0.064</v>
      </c>
      <c r="D10" s="25" t="n">
        <v>0.06</v>
      </c>
      <c r="E10" s="26" t="n">
        <f aca="false">CHOOSE(Summary!$C$4,B10,C10,D10)</f>
        <v>0.064</v>
      </c>
      <c r="F10" s="27" t="s">
        <v>56</v>
      </c>
    </row>
    <row r="11" customFormat="false" ht="15" hidden="false" customHeight="false" outlineLevel="0" collapsed="false">
      <c r="A11" s="13" t="s">
        <v>57</v>
      </c>
      <c r="B11" s="25" t="n">
        <v>0.023</v>
      </c>
      <c r="C11" s="25" t="n">
        <v>0.016</v>
      </c>
      <c r="D11" s="25" t="n">
        <v>0.013</v>
      </c>
      <c r="E11" s="26" t="n">
        <f aca="false">CHOOSE(Summary!$C$4,B11,C11,D11)</f>
        <v>0.016</v>
      </c>
      <c r="F11" s="27" t="s">
        <v>58</v>
      </c>
    </row>
    <row r="12" customFormat="false" ht="15" hidden="false" customHeight="false" outlineLevel="0" collapsed="false">
      <c r="A12" s="13" t="s">
        <v>59</v>
      </c>
      <c r="B12" s="25" t="n">
        <v>0.18</v>
      </c>
      <c r="C12" s="25" t="n">
        <v>0.16</v>
      </c>
      <c r="D12" s="25" t="n">
        <v>0.14</v>
      </c>
      <c r="E12" s="26" t="n">
        <f aca="false">CHOOSE(Summary!$C$4,B12,C12,D12)</f>
        <v>0.16</v>
      </c>
      <c r="F12" s="27" t="s">
        <v>60</v>
      </c>
    </row>
    <row r="13" customFormat="false" ht="15" hidden="false" customHeight="false" outlineLevel="0" collapsed="false">
      <c r="A13" s="13" t="s">
        <v>61</v>
      </c>
      <c r="B13" s="25" t="n">
        <v>0.25</v>
      </c>
      <c r="C13" s="25" t="n">
        <v>0.25</v>
      </c>
      <c r="D13" s="25" t="n">
        <v>0.25</v>
      </c>
      <c r="E13" s="26" t="n">
        <f aca="false">CHOOSE(Summary!$C$4,B13,C13,D13)</f>
        <v>0.25</v>
      </c>
      <c r="F13" s="27" t="s">
        <v>62</v>
      </c>
    </row>
    <row r="14" customFormat="false" ht="15" hidden="false" customHeight="false" outlineLevel="0" collapsed="false">
      <c r="A14" s="13" t="s">
        <v>63</v>
      </c>
      <c r="B14" s="25" t="n">
        <v>0.06</v>
      </c>
      <c r="C14" s="25" t="n">
        <v>0.06</v>
      </c>
      <c r="D14" s="25" t="n">
        <v>0.06</v>
      </c>
      <c r="E14" s="26" t="n">
        <f aca="false">CHOOSE(Summary!$C$4,B14,C14,D14)</f>
        <v>0.06</v>
      </c>
      <c r="F14" s="27" t="s">
        <v>64</v>
      </c>
    </row>
    <row r="15" customFormat="false" ht="15" hidden="false" customHeight="false" outlineLevel="0" collapsed="false">
      <c r="A15" s="8" t="s">
        <v>65</v>
      </c>
      <c r="B15" s="8"/>
      <c r="C15" s="8"/>
      <c r="D15" s="8"/>
      <c r="E15" s="8"/>
      <c r="F15" s="8"/>
    </row>
    <row r="16" customFormat="false" ht="15" hidden="false" customHeight="false" outlineLevel="0" collapsed="false">
      <c r="A16" s="13" t="s">
        <v>66</v>
      </c>
      <c r="B16" s="28" t="n">
        <v>10</v>
      </c>
      <c r="C16" s="28" t="n">
        <v>15</v>
      </c>
      <c r="D16" s="28" t="n">
        <v>18</v>
      </c>
      <c r="E16" s="29" t="n">
        <f aca="false">CHOOSE(Summary!$C$4,B16,C16,D16)</f>
        <v>15</v>
      </c>
      <c r="F16" s="27" t="s">
        <v>67</v>
      </c>
    </row>
    <row r="17" customFormat="false" ht="15" hidden="false" customHeight="false" outlineLevel="0" collapsed="false">
      <c r="A17" s="13" t="s">
        <v>68</v>
      </c>
      <c r="B17" s="30" t="n">
        <v>4</v>
      </c>
      <c r="C17" s="30" t="n">
        <v>4</v>
      </c>
      <c r="D17" s="30" t="n">
        <v>4</v>
      </c>
      <c r="E17" s="31" t="n">
        <f aca="false">CHOOSE(Summary!$C$4,B17,C17,D17)</f>
        <v>4</v>
      </c>
      <c r="F17" s="27" t="s">
        <v>69</v>
      </c>
    </row>
    <row r="18" customFormat="false" ht="15" hidden="false" customHeight="false" outlineLevel="0" collapsed="false">
      <c r="A18" s="8" t="s">
        <v>70</v>
      </c>
      <c r="B18" s="8"/>
      <c r="C18" s="8"/>
      <c r="D18" s="8"/>
      <c r="E18" s="8"/>
      <c r="F18" s="8"/>
    </row>
    <row r="19" customFormat="false" ht="15" hidden="false" customHeight="false" outlineLevel="0" collapsed="false">
      <c r="A19" s="13" t="s">
        <v>9</v>
      </c>
      <c r="B19" s="32" t="n">
        <v>480</v>
      </c>
      <c r="C19" s="32" t="n">
        <v>480</v>
      </c>
      <c r="D19" s="32" t="n">
        <v>480</v>
      </c>
      <c r="E19" s="33" t="n">
        <f aca="false">CHOOSE(Summary!$C$4,B19,C19,D19)</f>
        <v>480</v>
      </c>
      <c r="F19" s="27" t="s">
        <v>71</v>
      </c>
    </row>
    <row r="20" customFormat="false" ht="15" hidden="false" customHeight="false" outlineLevel="0" collapsed="false">
      <c r="A20" s="13" t="s">
        <v>72</v>
      </c>
      <c r="B20" s="34" t="n">
        <v>29.46</v>
      </c>
      <c r="C20" s="34" t="n">
        <v>29.46</v>
      </c>
      <c r="D20" s="34" t="n">
        <v>29.46</v>
      </c>
      <c r="E20" s="35" t="n">
        <f aca="false">CHOOSE(Summary!$C$4,B20,C20,D20)</f>
        <v>29.46</v>
      </c>
      <c r="F20" s="27" t="s">
        <v>73</v>
      </c>
    </row>
    <row r="21" customFormat="false" ht="15" hidden="false" customHeight="false" outlineLevel="0" collapsed="false">
      <c r="A21" s="13" t="s">
        <v>74</v>
      </c>
      <c r="B21" s="32" t="n">
        <v>13225</v>
      </c>
      <c r="C21" s="32" t="n">
        <v>13225</v>
      </c>
      <c r="D21" s="32" t="n">
        <v>13225</v>
      </c>
      <c r="E21" s="33" t="n">
        <f aca="false">CHOOSE(Summary!$C$4,B21,C21,D21)</f>
        <v>13225</v>
      </c>
      <c r="F21" s="27" t="s">
        <v>75</v>
      </c>
    </row>
    <row r="22" customFormat="false" ht="15" hidden="false" customHeight="false" outlineLevel="0" collapsed="false">
      <c r="A22" s="13" t="s">
        <v>76</v>
      </c>
      <c r="B22" s="32" t="n">
        <v>7400</v>
      </c>
      <c r="C22" s="32" t="n">
        <v>7400</v>
      </c>
      <c r="D22" s="32" t="n">
        <v>7400</v>
      </c>
      <c r="E22" s="33" t="n">
        <f aca="false">CHOOSE(Summary!$C$4,B22,C22,D22)</f>
        <v>7400</v>
      </c>
      <c r="F22" s="27" t="s">
        <v>77</v>
      </c>
    </row>
    <row r="23" customFormat="false" ht="15" hidden="false" customHeight="false" outlineLevel="0" collapsed="false">
      <c r="A23" s="13" t="s">
        <v>78</v>
      </c>
      <c r="B23" s="32" t="n">
        <v>2645</v>
      </c>
      <c r="C23" s="32" t="n">
        <v>2645</v>
      </c>
      <c r="D23" s="32" t="n">
        <v>2645</v>
      </c>
      <c r="E23" s="33" t="n">
        <f aca="false">CHOOSE(Summary!$C$4,B23,C23,D23)</f>
        <v>2645</v>
      </c>
      <c r="F23" s="27" t="s">
        <v>79</v>
      </c>
    </row>
  </sheetData>
  <mergeCells count="3">
    <mergeCell ref="A4:F4"/>
    <mergeCell ref="A15:F15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6" min="2" style="1" width="13"/>
  </cols>
  <sheetData>
    <row r="1" customFormat="false" ht="18.55" hidden="false" customHeight="false" outlineLevel="0" collapsed="false">
      <c r="A1" s="2" t="s">
        <v>80</v>
      </c>
    </row>
    <row r="2" customFormat="false" ht="15" hidden="false" customHeight="false" outlineLevel="0" collapsed="false">
      <c r="A2" s="3" t="s">
        <v>81</v>
      </c>
    </row>
    <row r="3" customFormat="false" ht="15" hidden="false" customHeight="false" outlineLevel="0" collapsed="false">
      <c r="A3" s="36"/>
      <c r="B3" s="10" t="s">
        <v>82</v>
      </c>
      <c r="C3" s="10" t="s">
        <v>83</v>
      </c>
      <c r="D3" s="10" t="s">
        <v>84</v>
      </c>
      <c r="E3" s="10" t="s">
        <v>85</v>
      </c>
      <c r="F3" s="10" t="s">
        <v>86</v>
      </c>
    </row>
    <row r="4" customFormat="false" ht="15" hidden="false" customHeight="false" outlineLevel="0" collapsed="false">
      <c r="A4" s="8" t="s">
        <v>87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11" t="s">
        <v>88</v>
      </c>
      <c r="B5" s="21" t="n">
        <f aca="false">Assumptions!$E$21</f>
        <v>13225</v>
      </c>
      <c r="C5" s="37" t="n">
        <f aca="false">B5*(1+Assumptions!$E$5)</f>
        <v>15737.75</v>
      </c>
      <c r="D5" s="37" t="n">
        <f aca="false">C5*(1+Assumptions!$E$5)</f>
        <v>18727.9225</v>
      </c>
      <c r="E5" s="37" t="n">
        <f aca="false">D5*(1+Assumptions!$E$5)</f>
        <v>22286.227775</v>
      </c>
      <c r="F5" s="37" t="n">
        <f aca="false">E5*(1+Assumptions!$E$5)</f>
        <v>26520.61105225</v>
      </c>
    </row>
    <row r="6" customFormat="false" ht="15" hidden="false" customHeight="false" outlineLevel="0" collapsed="false">
      <c r="A6" s="13" t="s">
        <v>89</v>
      </c>
      <c r="C6" s="37" t="n">
        <f aca="false">(B5+C5)/2</f>
        <v>14481.375</v>
      </c>
      <c r="D6" s="37" t="n">
        <f aca="false">(C5+D5)/2</f>
        <v>17232.83625</v>
      </c>
      <c r="E6" s="37" t="n">
        <f aca="false">(D5+E5)/2</f>
        <v>20507.0751375</v>
      </c>
      <c r="F6" s="37" t="n">
        <f aca="false">(E5+F5)/2</f>
        <v>24403.419413625</v>
      </c>
    </row>
    <row r="7" customFormat="false" ht="15" hidden="false" customHeight="false" outlineLevel="0" collapsed="false">
      <c r="A7" s="13" t="s">
        <v>90</v>
      </c>
      <c r="B7" s="21" t="n">
        <f aca="false">Assumptions!$E$23</f>
        <v>2645</v>
      </c>
      <c r="C7" s="37" t="n">
        <f aca="false">C5*Assumptions!$E$12</f>
        <v>2518.04</v>
      </c>
      <c r="D7" s="37" t="n">
        <f aca="false">D5*Assumptions!$E$12</f>
        <v>2996.4676</v>
      </c>
      <c r="E7" s="37" t="n">
        <f aca="false">E5*Assumptions!$E$12</f>
        <v>3565.796444</v>
      </c>
      <c r="F7" s="37" t="n">
        <f aca="false">F5*Assumptions!$E$12</f>
        <v>4243.29776836</v>
      </c>
    </row>
    <row r="8" customFormat="false" ht="15" hidden="false" customHeight="false" outlineLevel="0" collapsed="false">
      <c r="A8" s="11" t="s">
        <v>91</v>
      </c>
      <c r="B8" s="38" t="n">
        <f aca="false">B5+B7</f>
        <v>15870</v>
      </c>
      <c r="C8" s="38" t="n">
        <f aca="false">C5+C7</f>
        <v>18255.79</v>
      </c>
      <c r="D8" s="38" t="n">
        <f aca="false">D5+D7</f>
        <v>21724.3901</v>
      </c>
      <c r="E8" s="38" t="n">
        <f aca="false">E5+E7</f>
        <v>25852.024219</v>
      </c>
      <c r="F8" s="38" t="n">
        <f aca="false">F5+F7</f>
        <v>30763.90882061</v>
      </c>
    </row>
    <row r="9" customFormat="false" ht="15" hidden="false" customHeight="false" outlineLevel="0" collapsed="false">
      <c r="A9" s="11" t="s">
        <v>92</v>
      </c>
      <c r="B9" s="21" t="n">
        <f aca="false">Assumptions!$E$22</f>
        <v>7400</v>
      </c>
      <c r="C9" s="37" t="n">
        <f aca="false">B9+C24-C25</f>
        <v>8573.685815375</v>
      </c>
      <c r="D9" s="37" t="n">
        <f aca="false">C9+D24-D25</f>
        <v>9984.22003500567</v>
      </c>
      <c r="E9" s="37" t="n">
        <f aca="false">D9+E24-E25</f>
        <v>11647.8159531236</v>
      </c>
      <c r="F9" s="37" t="n">
        <f aca="false">E9+F24-F25</f>
        <v>13611.5336339965</v>
      </c>
    </row>
    <row r="10" customFormat="false" ht="15" hidden="false" customHeight="false" outlineLevel="0" collapsed="false">
      <c r="A10" s="13" t="s">
        <v>93</v>
      </c>
      <c r="B10" s="37" t="n">
        <f aca="false">B8-B9</f>
        <v>8470</v>
      </c>
      <c r="C10" s="37" t="n">
        <f aca="false">C8-C9</f>
        <v>9682.104184625</v>
      </c>
      <c r="D10" s="37" t="n">
        <f aca="false">D8-D9</f>
        <v>11740.1700649943</v>
      </c>
      <c r="E10" s="37" t="n">
        <f aca="false">E8-E9</f>
        <v>14204.2082658764</v>
      </c>
      <c r="F10" s="37" t="n">
        <f aca="false">F8-F9</f>
        <v>17152.3751866135</v>
      </c>
    </row>
    <row r="12" customFormat="false" ht="15" hidden="false" customHeight="false" outlineLevel="0" collapsed="false">
      <c r="A12" s="8" t="s">
        <v>94</v>
      </c>
      <c r="B12" s="8"/>
      <c r="C12" s="8"/>
      <c r="D12" s="8"/>
      <c r="E12" s="8"/>
      <c r="F12" s="8"/>
    </row>
    <row r="13" customFormat="false" ht="15" hidden="false" customHeight="false" outlineLevel="0" collapsed="false">
      <c r="A13" s="13" t="s">
        <v>95</v>
      </c>
      <c r="C13" s="37" t="n">
        <f aca="false">C6*Assumptions!$E$6</f>
        <v>3403.123125</v>
      </c>
      <c r="D13" s="37" t="n">
        <f aca="false">D6*Assumptions!$E$6</f>
        <v>4049.71651875</v>
      </c>
      <c r="E13" s="37" t="n">
        <f aca="false">E6*Assumptions!$E$6</f>
        <v>4819.1626573125</v>
      </c>
      <c r="F13" s="37" t="n">
        <f aca="false">F6*Assumptions!$E$6</f>
        <v>5734.80356220188</v>
      </c>
    </row>
    <row r="14" customFormat="false" ht="15" hidden="false" customHeight="false" outlineLevel="0" collapsed="false">
      <c r="A14" s="13" t="s">
        <v>96</v>
      </c>
      <c r="C14" s="37" t="n">
        <f aca="false">((B7+C7)/2)*Assumptions!$E$8</f>
        <v>154.8912</v>
      </c>
      <c r="D14" s="37" t="n">
        <f aca="false">((C7+D7)/2)*Assumptions!$E$8</f>
        <v>165.435228</v>
      </c>
      <c r="E14" s="37" t="n">
        <f aca="false">((D7+E7)/2)*Assumptions!$E$8</f>
        <v>196.86792132</v>
      </c>
      <c r="F14" s="37" t="n">
        <f aca="false">((E7+F7)/2)*Assumptions!$E$8</f>
        <v>234.2728263708</v>
      </c>
    </row>
    <row r="15" customFormat="false" ht="15" hidden="false" customHeight="false" outlineLevel="0" collapsed="false">
      <c r="A15" s="11" t="s">
        <v>97</v>
      </c>
      <c r="C15" s="38" t="n">
        <f aca="false">C13+C14</f>
        <v>3558.014325</v>
      </c>
      <c r="D15" s="38" t="n">
        <f aca="false">D13+D14</f>
        <v>4215.15174675</v>
      </c>
      <c r="E15" s="38" t="n">
        <f aca="false">E13+E14</f>
        <v>5016.0305786325</v>
      </c>
      <c r="F15" s="38" t="n">
        <f aca="false">F13+F14</f>
        <v>5969.07638857268</v>
      </c>
    </row>
    <row r="16" customFormat="false" ht="15" hidden="false" customHeight="false" outlineLevel="0" collapsed="false">
      <c r="A16" s="13" t="s">
        <v>98</v>
      </c>
      <c r="C16" s="37" t="n">
        <f aca="false">-B10*Assumptions!$E$7</f>
        <v>-821.59</v>
      </c>
      <c r="D16" s="37" t="n">
        <f aca="false">-C10*Assumptions!$E$7</f>
        <v>-939.164105908625</v>
      </c>
      <c r="E16" s="37" t="n">
        <f aca="false">-D10*Assumptions!$E$7</f>
        <v>-1138.79649630445</v>
      </c>
      <c r="F16" s="37" t="n">
        <f aca="false">-E10*Assumptions!$E$7</f>
        <v>-1377.80820179001</v>
      </c>
    </row>
    <row r="17" customFormat="false" ht="15" hidden="false" customHeight="false" outlineLevel="0" collapsed="false">
      <c r="A17" s="11" t="s">
        <v>99</v>
      </c>
      <c r="C17" s="38" t="n">
        <f aca="false">C15+C16</f>
        <v>2736.424325</v>
      </c>
      <c r="D17" s="38" t="n">
        <f aca="false">D15+D16</f>
        <v>3275.98764084137</v>
      </c>
      <c r="E17" s="38" t="n">
        <f aca="false">E15+E16</f>
        <v>3877.23408232805</v>
      </c>
      <c r="F17" s="38" t="n">
        <f aca="false">F15+F16</f>
        <v>4591.26818678266</v>
      </c>
    </row>
    <row r="18" customFormat="false" ht="15" hidden="false" customHeight="false" outlineLevel="0" collapsed="false">
      <c r="A18" s="13" t="s">
        <v>100</v>
      </c>
      <c r="C18" s="37" t="n">
        <f aca="false">C6*Assumptions!$E$9</f>
        <v>86.88825</v>
      </c>
      <c r="D18" s="37" t="n">
        <f aca="false">D6*Assumptions!$E$9</f>
        <v>103.3970175</v>
      </c>
      <c r="E18" s="37" t="n">
        <f aca="false">E6*Assumptions!$E$9</f>
        <v>123.042450825</v>
      </c>
      <c r="F18" s="37" t="n">
        <f aca="false">F6*Assumptions!$E$9</f>
        <v>146.42051648175</v>
      </c>
    </row>
    <row r="19" customFormat="false" ht="15" hidden="false" customHeight="false" outlineLevel="0" collapsed="false">
      <c r="A19" s="11" t="s">
        <v>101</v>
      </c>
      <c r="B19" s="39" t="n">
        <v>3218</v>
      </c>
      <c r="C19" s="38" t="n">
        <f aca="false">C17+C18</f>
        <v>2823.312575</v>
      </c>
      <c r="D19" s="38" t="n">
        <f aca="false">D17+D18</f>
        <v>3379.38465834137</v>
      </c>
      <c r="E19" s="38" t="n">
        <f aca="false">E17+E18</f>
        <v>4000.27653315305</v>
      </c>
      <c r="F19" s="38" t="n">
        <f aca="false">F17+F18</f>
        <v>4737.68870326441</v>
      </c>
    </row>
    <row r="20" customFormat="false" ht="15" hidden="false" customHeight="false" outlineLevel="0" collapsed="false">
      <c r="A20" s="13" t="s">
        <v>102</v>
      </c>
      <c r="C20" s="37" t="n">
        <f aca="false">-C6*Assumptions!$E$10</f>
        <v>-926.808</v>
      </c>
      <c r="D20" s="37" t="n">
        <f aca="false">-D6*Assumptions!$E$10</f>
        <v>-1102.90152</v>
      </c>
      <c r="E20" s="37" t="n">
        <f aca="false">-E6*Assumptions!$E$10</f>
        <v>-1312.4528088</v>
      </c>
      <c r="F20" s="37" t="n">
        <f aca="false">-F6*Assumptions!$E$10</f>
        <v>-1561.818842472</v>
      </c>
    </row>
    <row r="21" customFormat="false" ht="15" hidden="false" customHeight="false" outlineLevel="0" collapsed="false">
      <c r="A21" s="11" t="s">
        <v>103</v>
      </c>
      <c r="C21" s="38" t="n">
        <f aca="false">C19+C20</f>
        <v>1896.504575</v>
      </c>
      <c r="D21" s="38" t="n">
        <f aca="false">D19+D20</f>
        <v>2276.48313834138</v>
      </c>
      <c r="E21" s="38" t="n">
        <f aca="false">E19+E20</f>
        <v>2687.82372435305</v>
      </c>
      <c r="F21" s="38" t="n">
        <f aca="false">F19+F20</f>
        <v>3175.86986079241</v>
      </c>
    </row>
    <row r="22" customFormat="false" ht="15" hidden="false" customHeight="false" outlineLevel="0" collapsed="false">
      <c r="A22" s="13" t="s">
        <v>104</v>
      </c>
      <c r="C22" s="37" t="n">
        <f aca="false">-C6*Assumptions!$E$11</f>
        <v>-231.702</v>
      </c>
      <c r="D22" s="37" t="n">
        <f aca="false">-D6*Assumptions!$E$11</f>
        <v>-275.72538</v>
      </c>
      <c r="E22" s="37" t="n">
        <f aca="false">-E6*Assumptions!$E$11</f>
        <v>-328.1132022</v>
      </c>
      <c r="F22" s="37" t="n">
        <f aca="false">-F6*Assumptions!$E$11</f>
        <v>-390.454710618</v>
      </c>
    </row>
    <row r="23" customFormat="false" ht="15" hidden="false" customHeight="false" outlineLevel="0" collapsed="false">
      <c r="A23" s="11" t="s">
        <v>105</v>
      </c>
      <c r="C23" s="38" t="n">
        <f aca="false">C21+C22</f>
        <v>1664.802575</v>
      </c>
      <c r="D23" s="38" t="n">
        <f aca="false">D21+D22</f>
        <v>2000.75775834137</v>
      </c>
      <c r="E23" s="38" t="n">
        <f aca="false">E21+E22</f>
        <v>2359.71052215305</v>
      </c>
      <c r="F23" s="38" t="n">
        <f aca="false">F21+F22</f>
        <v>2785.41515017441</v>
      </c>
    </row>
    <row r="24" customFormat="false" ht="15" hidden="false" customHeight="false" outlineLevel="0" collapsed="false">
      <c r="A24" s="15" t="s">
        <v>106</v>
      </c>
      <c r="B24" s="40" t="n">
        <v>1099</v>
      </c>
      <c r="C24" s="41" t="n">
        <f aca="false">C23*(1-Assumptions!$E$13)</f>
        <v>1248.60193125</v>
      </c>
      <c r="D24" s="41" t="n">
        <f aca="false">D23*(1-Assumptions!$E$13)</f>
        <v>1500.56831875603</v>
      </c>
      <c r="E24" s="41" t="n">
        <f aca="false">E23*(1-Assumptions!$E$13)</f>
        <v>1769.78289161479</v>
      </c>
      <c r="F24" s="41" t="n">
        <f aca="false">F23*(1-Assumptions!$E$13)</f>
        <v>2089.06136263081</v>
      </c>
    </row>
    <row r="25" customFormat="false" ht="15" hidden="false" customHeight="false" outlineLevel="0" collapsed="false">
      <c r="A25" s="13" t="s">
        <v>107</v>
      </c>
      <c r="B25" s="39" t="n">
        <v>59</v>
      </c>
      <c r="C25" s="37" t="n">
        <f aca="false">C24*Assumptions!$E$14</f>
        <v>74.916115875</v>
      </c>
      <c r="D25" s="37" t="n">
        <f aca="false">D24*Assumptions!$E$14</f>
        <v>90.0340991253619</v>
      </c>
      <c r="E25" s="37" t="n">
        <f aca="false">E24*Assumptions!$E$14</f>
        <v>106.186973496887</v>
      </c>
      <c r="F25" s="37" t="n">
        <f aca="false">F24*Assumptions!$E$14</f>
        <v>125.343681757849</v>
      </c>
    </row>
    <row r="27" customFormat="false" ht="15" hidden="false" customHeight="false" outlineLevel="0" collapsed="false">
      <c r="A27" s="13" t="s">
        <v>108</v>
      </c>
      <c r="B27" s="42" t="n">
        <f aca="false">B24/Assumptions!$E$20</f>
        <v>37.3048200950441</v>
      </c>
      <c r="C27" s="42" t="n">
        <f aca="false">C24/Assumptions!$E$20</f>
        <v>42.3829576120163</v>
      </c>
      <c r="D27" s="42" t="n">
        <f aca="false">D24/Assumptions!$E$20</f>
        <v>50.935788145147</v>
      </c>
      <c r="E27" s="42" t="n">
        <f aca="false">E24/Assumptions!$E$20</f>
        <v>60.0740967961571</v>
      </c>
      <c r="F27" s="42" t="n">
        <f aca="false">F24/Assumptions!$E$20</f>
        <v>70.9117909922203</v>
      </c>
    </row>
    <row r="28" customFormat="false" ht="15" hidden="false" customHeight="false" outlineLevel="0" collapsed="false">
      <c r="A28" s="13" t="s">
        <v>109</v>
      </c>
      <c r="C28" s="37" t="n">
        <f aca="false">-C23*Assumptions!$E$13</f>
        <v>-416.20064375</v>
      </c>
      <c r="D28" s="37" t="n">
        <f aca="false">-D23*Assumptions!$E$13</f>
        <v>-500.189439585344</v>
      </c>
      <c r="E28" s="37" t="n">
        <f aca="false">-E23*Assumptions!$E$13</f>
        <v>-589.927630538262</v>
      </c>
      <c r="F28" s="37" t="n">
        <f aca="false">-F23*Assumptions!$E$13</f>
        <v>-696.353787543603</v>
      </c>
    </row>
    <row r="30" customFormat="false" ht="15" hidden="false" customHeight="true" outlineLevel="0" collapsed="false">
      <c r="A30" s="43" t="s">
        <v>110</v>
      </c>
      <c r="B30" s="43"/>
      <c r="C30" s="43"/>
      <c r="D30" s="43"/>
      <c r="E30" s="43"/>
      <c r="F30" s="43"/>
    </row>
  </sheetData>
  <mergeCells count="3">
    <mergeCell ref="A4:F4"/>
    <mergeCell ref="A12:F12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</cols>
  <sheetData>
    <row r="1" customFormat="false" ht="18.55" hidden="false" customHeight="false" outlineLevel="0" collapsed="false">
      <c r="A1" s="2" t="s">
        <v>111</v>
      </c>
    </row>
    <row r="2" customFormat="false" ht="15" hidden="false" customHeight="false" outlineLevel="0" collapsed="false">
      <c r="A2" s="3" t="s">
        <v>112</v>
      </c>
    </row>
    <row r="3" customFormat="false" ht="15" hidden="false" customHeight="false" outlineLevel="0" collapsed="false">
      <c r="A3" s="36"/>
      <c r="B3" s="10" t="s">
        <v>82</v>
      </c>
      <c r="C3" s="10" t="s">
        <v>83</v>
      </c>
      <c r="D3" s="10" t="s">
        <v>84</v>
      </c>
      <c r="E3" s="10" t="s">
        <v>85</v>
      </c>
      <c r="F3" s="10" t="s">
        <v>86</v>
      </c>
    </row>
    <row r="4" customFormat="false" ht="15" hidden="false" customHeight="false" outlineLevel="0" collapsed="false">
      <c r="A4" s="8" t="s">
        <v>113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13" t="s">
        <v>10</v>
      </c>
      <c r="C5" s="44" t="n">
        <f aca="false">Model_PnL!C5/Model_PnL!B5-1</f>
        <v>0.19</v>
      </c>
      <c r="D5" s="44" t="n">
        <f aca="false">Model_PnL!D5/Model_PnL!C5-1</f>
        <v>0.19</v>
      </c>
      <c r="E5" s="44" t="n">
        <f aca="false">Model_PnL!E5/Model_PnL!D5-1</f>
        <v>0.19</v>
      </c>
      <c r="F5" s="44" t="n">
        <f aca="false">Model_PnL!F5/Model_PnL!E5-1</f>
        <v>0.19</v>
      </c>
    </row>
    <row r="6" customFormat="false" ht="15" hidden="false" customHeight="false" outlineLevel="0" collapsed="false">
      <c r="A6" s="13" t="s">
        <v>114</v>
      </c>
      <c r="C6" s="44" t="n">
        <f aca="false">Model_PnL!C24/Model_PnL!B24-1</f>
        <v>0.136125506141947</v>
      </c>
      <c r="D6" s="44" t="n">
        <f aca="false">Model_PnL!D24/Model_PnL!C24-1</f>
        <v>0.201798812896103</v>
      </c>
      <c r="E6" s="44" t="n">
        <f aca="false">Model_PnL!E24/Model_PnL!D24-1</f>
        <v>0.179408407797077</v>
      </c>
      <c r="F6" s="44" t="n">
        <f aca="false">Model_PnL!F24/Model_PnL!E24-1</f>
        <v>0.180405445509028</v>
      </c>
    </row>
    <row r="7" customFormat="false" ht="15" hidden="false" customHeight="false" outlineLevel="0" collapsed="false">
      <c r="A7" s="8" t="s">
        <v>115</v>
      </c>
      <c r="B7" s="8"/>
      <c r="C7" s="8"/>
      <c r="D7" s="8"/>
      <c r="E7" s="8"/>
      <c r="F7" s="8"/>
    </row>
    <row r="8" customFormat="false" ht="15" hidden="false" customHeight="false" outlineLevel="0" collapsed="false">
      <c r="A8" s="13" t="s">
        <v>12</v>
      </c>
      <c r="C8" s="44" t="n">
        <f aca="false">Model_PnL!C13/Model_PnL!C6</f>
        <v>0.235</v>
      </c>
      <c r="D8" s="44" t="n">
        <f aca="false">Model_PnL!D13/Model_PnL!D6</f>
        <v>0.235</v>
      </c>
      <c r="E8" s="44" t="n">
        <f aca="false">Model_PnL!E13/Model_PnL!E6</f>
        <v>0.235</v>
      </c>
      <c r="F8" s="44" t="n">
        <f aca="false">Model_PnL!F13/Model_PnL!F6</f>
        <v>0.235</v>
      </c>
    </row>
    <row r="9" customFormat="false" ht="15" hidden="false" customHeight="false" outlineLevel="0" collapsed="false">
      <c r="A9" s="11" t="s">
        <v>116</v>
      </c>
      <c r="C9" s="44" t="n">
        <f aca="false">Model_PnL!C17/Model_PnL!C6</f>
        <v>0.188961636930195</v>
      </c>
      <c r="D9" s="44" t="n">
        <f aca="false">Model_PnL!D17/Model_PnL!D6</f>
        <v>0.190101477975883</v>
      </c>
      <c r="E9" s="44" t="n">
        <f aca="false">Model_PnL!E17/Model_PnL!E6</f>
        <v>0.189068117044054</v>
      </c>
      <c r="F9" s="44" t="n">
        <f aca="false">Model_PnL!F17/Model_PnL!F6</f>
        <v>0.188140362994345</v>
      </c>
    </row>
    <row r="10" customFormat="false" ht="15" hidden="false" customHeight="false" outlineLevel="0" collapsed="false">
      <c r="A10" s="13" t="s">
        <v>117</v>
      </c>
      <c r="C10" s="44" t="n">
        <f aca="false">-Model_PnL!C16/((Model_PnL!B10+Model_PnL!C10)/2)</f>
        <v>0.0905228387457025</v>
      </c>
      <c r="D10" s="44" t="n">
        <f aca="false">-Model_PnL!D16/((Model_PnL!C10+Model_PnL!D10)/2)</f>
        <v>0.0876810832468279</v>
      </c>
      <c r="E10" s="44" t="n">
        <f aca="false">-Model_PnL!E16/((Model_PnL!D10+Model_PnL!E10)/2)</f>
        <v>0.087787533914383</v>
      </c>
      <c r="F10" s="44" t="n">
        <f aca="false">-Model_PnL!F16/((Model_PnL!E10+Model_PnL!F10)/2)</f>
        <v>0.0878799952091469</v>
      </c>
    </row>
    <row r="11" customFormat="false" ht="15" hidden="false" customHeight="false" outlineLevel="0" collapsed="false">
      <c r="A11" s="13" t="s">
        <v>18</v>
      </c>
      <c r="C11" s="44" t="n">
        <f aca="false">-Model_PnL!C22/Model_PnL!C6</f>
        <v>0.016</v>
      </c>
      <c r="D11" s="44" t="n">
        <f aca="false">-Model_PnL!D22/Model_PnL!D6</f>
        <v>0.016</v>
      </c>
      <c r="E11" s="44" t="n">
        <f aca="false">-Model_PnL!E22/Model_PnL!E6</f>
        <v>0.016</v>
      </c>
      <c r="F11" s="44" t="n">
        <f aca="false">-Model_PnL!F22/Model_PnL!F6</f>
        <v>0.016</v>
      </c>
    </row>
    <row r="12" customFormat="false" ht="15" hidden="false" customHeight="false" outlineLevel="0" collapsed="false">
      <c r="A12" s="8" t="s">
        <v>118</v>
      </c>
      <c r="B12" s="8"/>
      <c r="C12" s="8"/>
      <c r="D12" s="8"/>
      <c r="E12" s="8"/>
      <c r="F12" s="8"/>
    </row>
    <row r="13" customFormat="false" ht="15" hidden="false" customHeight="false" outlineLevel="0" collapsed="false">
      <c r="A13" s="13" t="s">
        <v>119</v>
      </c>
      <c r="C13" s="44" t="n">
        <f aca="false">-Model_PnL!C20/Model_PnL!C19</f>
        <v>0.328269709916905</v>
      </c>
      <c r="D13" s="44" t="n">
        <f aca="false">-Model_PnL!D20/Model_PnL!D19</f>
        <v>0.326361640210947</v>
      </c>
      <c r="E13" s="44" t="n">
        <f aca="false">-Model_PnL!E20/Model_PnL!E19</f>
        <v>0.328090520223489</v>
      </c>
      <c r="F13" s="44" t="n">
        <f aca="false">-Model_PnL!F20/Model_PnL!F19</f>
        <v>0.32965839258199</v>
      </c>
    </row>
    <row r="14" customFormat="false" ht="15" hidden="false" customHeight="false" outlineLevel="0" collapsed="false">
      <c r="A14" s="15" t="s">
        <v>120</v>
      </c>
      <c r="C14" s="45" t="n">
        <f aca="false">Model_PnL!C24/((Model_PnL!B8+Model_PnL!C8)/2)</f>
        <v>0.073176441116821</v>
      </c>
      <c r="D14" s="45" t="n">
        <f aca="false">Model_PnL!D24/((Model_PnL!C8+Model_PnL!D8)/2)</f>
        <v>0.0750656107602692</v>
      </c>
      <c r="E14" s="45" t="n">
        <f aca="false">Model_PnL!E24/((Model_PnL!D8+Model_PnL!E8)/2)</f>
        <v>0.074397489468138</v>
      </c>
      <c r="F14" s="45" t="n">
        <f aca="false">Model_PnL!F24/((Model_PnL!E8+Model_PnL!F8)/2)</f>
        <v>0.0737976484877233</v>
      </c>
    </row>
    <row r="15" customFormat="false" ht="15" hidden="false" customHeight="false" outlineLevel="0" collapsed="false">
      <c r="A15" s="15" t="s">
        <v>121</v>
      </c>
      <c r="C15" s="45" t="n">
        <f aca="false">Model_PnL!C24/((Model_PnL!B9+Model_PnL!C9)/2)</f>
        <v>0.156332351303441</v>
      </c>
      <c r="D15" s="45" t="n">
        <f aca="false">Model_PnL!D24/((Model_PnL!C9+Model_PnL!D9)/2)</f>
        <v>0.161717419072395</v>
      </c>
      <c r="E15" s="45" t="n">
        <f aca="false">Model_PnL!E24/((Model_PnL!D9+Model_PnL!E9)/2)</f>
        <v>0.163626104596532</v>
      </c>
      <c r="F15" s="45" t="n">
        <f aca="false">Model_PnL!F24/((Model_PnL!E9+Model_PnL!F9)/2)</f>
        <v>0.165408959199491</v>
      </c>
    </row>
    <row r="16" customFormat="false" ht="15" hidden="false" customHeight="false" outlineLevel="0" collapsed="false">
      <c r="A16" s="8" t="s">
        <v>122</v>
      </c>
      <c r="B16" s="8"/>
      <c r="C16" s="8"/>
      <c r="D16" s="8"/>
      <c r="E16" s="8"/>
      <c r="F16" s="8"/>
    </row>
    <row r="17" customFormat="false" ht="15" hidden="false" customHeight="false" outlineLevel="0" collapsed="false">
      <c r="A17" s="13" t="s">
        <v>123</v>
      </c>
      <c r="B17" s="23" t="n">
        <f aca="false">Model_PnL!B10/Model_PnL!B9</f>
        <v>1.14459459459459</v>
      </c>
      <c r="C17" s="23" t="n">
        <f aca="false">Model_PnL!C10/Model_PnL!C9</f>
        <v>1.12928143077768</v>
      </c>
      <c r="D17" s="23" t="n">
        <f aca="false">Model_PnL!D10/Model_PnL!D9</f>
        <v>1.17587252923434</v>
      </c>
      <c r="E17" s="23" t="n">
        <f aca="false">Model_PnL!E10/Model_PnL!E9</f>
        <v>1.21947396173163</v>
      </c>
      <c r="F17" s="23" t="n">
        <f aca="false">Model_PnL!F10/Model_PnL!F9</f>
        <v>1.26013538575648</v>
      </c>
    </row>
    <row r="18" customFormat="false" ht="15" hidden="false" customHeight="false" outlineLevel="0" collapsed="false">
      <c r="A18" s="13" t="s">
        <v>124</v>
      </c>
      <c r="B18" s="46" t="n">
        <f aca="false">Model_PnL!B24/Assumptions!$E$20</f>
        <v>37.3048200950441</v>
      </c>
      <c r="C18" s="46" t="n">
        <f aca="false">Model_PnL!C24/Assumptions!$E$20</f>
        <v>42.3829576120163</v>
      </c>
      <c r="D18" s="46" t="n">
        <f aca="false">Model_PnL!D24/Assumptions!$E$20</f>
        <v>50.935788145147</v>
      </c>
      <c r="E18" s="46" t="n">
        <f aca="false">Model_PnL!E24/Assumptions!$E$20</f>
        <v>60.0740967961571</v>
      </c>
      <c r="F18" s="46" t="n">
        <f aca="false">Model_PnL!F24/Assumptions!$E$20</f>
        <v>70.9117909922203</v>
      </c>
    </row>
    <row r="19" customFormat="false" ht="15" hidden="false" customHeight="false" outlineLevel="0" collapsed="false">
      <c r="A19" s="13" t="s">
        <v>125</v>
      </c>
      <c r="B19" s="21" t="n">
        <f aca="false">Model_PnL!B9/Assumptions!$E$20</f>
        <v>251.188051595384</v>
      </c>
      <c r="C19" s="21" t="n">
        <f aca="false">Model_PnL!C9/Assumptions!$E$20</f>
        <v>291.028031750679</v>
      </c>
      <c r="D19" s="21" t="n">
        <f aca="false">Model_PnL!D9/Assumptions!$E$20</f>
        <v>338.907672607117</v>
      </c>
      <c r="E19" s="21" t="n">
        <f aca="false">Model_PnL!E9/Assumptions!$E$20</f>
        <v>395.377323595505</v>
      </c>
      <c r="F19" s="21" t="n">
        <f aca="false">Model_PnL!F9/Assumptions!$E$20</f>
        <v>462.034407128192</v>
      </c>
    </row>
    <row r="20" customFormat="false" ht="15" hidden="false" customHeight="false" outlineLevel="0" collapsed="false">
      <c r="A20" s="13" t="s">
        <v>126</v>
      </c>
      <c r="B20" s="46" t="n">
        <f aca="false">Model_PnL!B25/Assumptions!$E$20</f>
        <v>2.00271554650373</v>
      </c>
      <c r="C20" s="46" t="n">
        <f aca="false">Model_PnL!C25/Assumptions!$E$20</f>
        <v>2.54297745672098</v>
      </c>
      <c r="D20" s="46" t="n">
        <f aca="false">Model_PnL!D25/Assumptions!$E$20</f>
        <v>3.05614728870882</v>
      </c>
      <c r="E20" s="46" t="n">
        <f aca="false">Model_PnL!E25/Assumptions!$E$20</f>
        <v>3.60444580776942</v>
      </c>
      <c r="F20" s="46" t="n">
        <f aca="false">Model_PnL!F25/Assumptions!$E$20</f>
        <v>4.25470745953322</v>
      </c>
    </row>
  </sheetData>
  <mergeCells count="4">
    <mergeCell ref="A4:F4"/>
    <mergeCell ref="A7:F7"/>
    <mergeCell ref="A12:F12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</cols>
  <sheetData>
    <row r="1" customFormat="false" ht="18.55" hidden="false" customHeight="false" outlineLevel="0" collapsed="false">
      <c r="A1" s="2" t="s">
        <v>127</v>
      </c>
    </row>
    <row r="2" customFormat="false" ht="15" hidden="false" customHeight="false" outlineLevel="0" collapsed="false">
      <c r="A2" s="3" t="s">
        <v>128</v>
      </c>
    </row>
    <row r="4" customFormat="false" ht="15" hidden="false" customHeight="false" outlineLevel="0" collapsed="false">
      <c r="A4" s="8" t="s">
        <v>129</v>
      </c>
      <c r="B4" s="8"/>
      <c r="C4" s="8"/>
    </row>
    <row r="5" customFormat="false" ht="15" hidden="false" customHeight="false" outlineLevel="0" collapsed="false">
      <c r="A5" s="13" t="s">
        <v>9</v>
      </c>
      <c r="B5" s="21" t="n">
        <f aca="false">Assumptions!$E$19</f>
        <v>480</v>
      </c>
    </row>
    <row r="6" customFormat="false" ht="15" hidden="false" customHeight="false" outlineLevel="0" collapsed="false">
      <c r="A6" s="13" t="s">
        <v>72</v>
      </c>
      <c r="B6" s="46" t="n">
        <f aca="false">Assumptions!$E$20</f>
        <v>29.46</v>
      </c>
    </row>
    <row r="7" customFormat="false" ht="15" hidden="false" customHeight="false" outlineLevel="0" collapsed="false">
      <c r="A7" s="11" t="s">
        <v>11</v>
      </c>
      <c r="B7" s="38" t="n">
        <f aca="false">B5*B6</f>
        <v>14140.8</v>
      </c>
    </row>
    <row r="8" customFormat="false" ht="15" hidden="false" customHeight="false" outlineLevel="0" collapsed="false">
      <c r="A8" s="13" t="s">
        <v>68</v>
      </c>
      <c r="B8" s="47" t="n">
        <f aca="false">Assumptions!$E$17</f>
        <v>4</v>
      </c>
    </row>
    <row r="9" customFormat="false" ht="15" hidden="false" customHeight="false" outlineLevel="0" collapsed="false">
      <c r="A9" s="13" t="s">
        <v>66</v>
      </c>
      <c r="B9" s="23" t="n">
        <f aca="false">Assumptions!$E$16</f>
        <v>15</v>
      </c>
    </row>
    <row r="10" customFormat="false" ht="15" hidden="false" customHeight="false" outlineLevel="0" collapsed="false">
      <c r="A10" s="13" t="s">
        <v>130</v>
      </c>
      <c r="B10" s="48" t="n">
        <v>0.2</v>
      </c>
      <c r="C10" s="7" t="s">
        <v>131</v>
      </c>
    </row>
    <row r="12" customFormat="false" ht="15" hidden="false" customHeight="false" outlineLevel="0" collapsed="false">
      <c r="A12" s="8" t="s">
        <v>132</v>
      </c>
      <c r="B12" s="8"/>
      <c r="C12" s="8"/>
    </row>
    <row r="13" customFormat="false" ht="15" hidden="false" customHeight="false" outlineLevel="0" collapsed="false">
      <c r="A13" s="13" t="s">
        <v>133</v>
      </c>
      <c r="B13" s="21" t="n">
        <f aca="false">Model_PnL!F24</f>
        <v>2089.06136263081</v>
      </c>
    </row>
    <row r="14" customFormat="false" ht="15" hidden="false" customHeight="false" outlineLevel="0" collapsed="false">
      <c r="A14" s="13" t="s">
        <v>134</v>
      </c>
      <c r="B14" s="21" t="n">
        <f aca="false">Model_PnL!F9</f>
        <v>13611.5336339965</v>
      </c>
    </row>
    <row r="15" customFormat="false" ht="15" hidden="false" customHeight="false" outlineLevel="0" collapsed="false">
      <c r="A15" s="15" t="s">
        <v>135</v>
      </c>
      <c r="B15" s="41" t="n">
        <f aca="false">B9*B13</f>
        <v>31335.9204394621</v>
      </c>
    </row>
    <row r="16" customFormat="false" ht="15" hidden="false" customHeight="false" outlineLevel="0" collapsed="false">
      <c r="A16" s="13" t="s">
        <v>23</v>
      </c>
      <c r="B16" s="49" t="n">
        <f aca="false">B15/B14</f>
        <v>2.30215942465122</v>
      </c>
    </row>
    <row r="18" customFormat="false" ht="15" hidden="false" customHeight="false" outlineLevel="0" collapsed="false">
      <c r="A18" s="8" t="s">
        <v>136</v>
      </c>
      <c r="B18" s="8"/>
      <c r="C18" s="8"/>
      <c r="D18" s="8"/>
      <c r="E18" s="8"/>
      <c r="F18" s="8"/>
    </row>
    <row r="19" customFormat="false" ht="15" hidden="false" customHeight="false" outlineLevel="0" collapsed="false">
      <c r="A19" s="11" t="s">
        <v>137</v>
      </c>
      <c r="B19" s="50" t="s">
        <v>138</v>
      </c>
      <c r="C19" s="50" t="s">
        <v>139</v>
      </c>
      <c r="D19" s="50" t="s">
        <v>140</v>
      </c>
      <c r="E19" s="50" t="s">
        <v>141</v>
      </c>
      <c r="F19" s="50" t="s">
        <v>142</v>
      </c>
    </row>
    <row r="20" customFormat="false" ht="15" hidden="false" customHeight="false" outlineLevel="0" collapsed="false">
      <c r="A20" s="13" t="s">
        <v>143</v>
      </c>
      <c r="B20" s="37" t="n">
        <v>0</v>
      </c>
      <c r="C20" s="21" t="n">
        <f aca="false">Model_PnL!C25</f>
        <v>74.916115875</v>
      </c>
      <c r="D20" s="21" t="n">
        <f aca="false">Model_PnL!D25</f>
        <v>90.0340991253619</v>
      </c>
      <c r="E20" s="21" t="n">
        <f aca="false">Model_PnL!E25</f>
        <v>106.186973496887</v>
      </c>
      <c r="F20" s="21" t="n">
        <f aca="false">Model_PnL!F25</f>
        <v>125.343681757849</v>
      </c>
    </row>
    <row r="21" customFormat="false" ht="15" hidden="false" customHeight="false" outlineLevel="0" collapsed="false">
      <c r="A21" s="13" t="s">
        <v>144</v>
      </c>
      <c r="B21" s="37" t="n">
        <f aca="false">-B7</f>
        <v>-14140.8</v>
      </c>
      <c r="C21" s="37" t="n">
        <v>0</v>
      </c>
      <c r="D21" s="37" t="n">
        <v>0</v>
      </c>
      <c r="E21" s="37" t="n">
        <v>0</v>
      </c>
      <c r="F21" s="37" t="n">
        <f aca="false">B15</f>
        <v>31335.9204394621</v>
      </c>
    </row>
    <row r="22" customFormat="false" ht="15" hidden="false" customHeight="false" outlineLevel="0" collapsed="false">
      <c r="A22" s="11" t="s">
        <v>145</v>
      </c>
      <c r="B22" s="38" t="n">
        <f aca="false">B20+B21</f>
        <v>-14140.8</v>
      </c>
      <c r="C22" s="38" t="n">
        <f aca="false">C20+C21</f>
        <v>74.916115875</v>
      </c>
      <c r="D22" s="38" t="n">
        <f aca="false">D20+D21</f>
        <v>90.0340991253619</v>
      </c>
      <c r="E22" s="38" t="n">
        <f aca="false">E20+E21</f>
        <v>106.186973496887</v>
      </c>
      <c r="F22" s="38" t="n">
        <f aca="false">F20+F21</f>
        <v>31461.26412122</v>
      </c>
    </row>
    <row r="24" customFormat="false" ht="15" hidden="false" customHeight="false" outlineLevel="0" collapsed="false">
      <c r="A24" s="8" t="s">
        <v>146</v>
      </c>
      <c r="B24" s="8"/>
      <c r="C24" s="8"/>
    </row>
    <row r="25" customFormat="false" ht="15" hidden="false" customHeight="false" outlineLevel="0" collapsed="false">
      <c r="A25" s="15" t="s">
        <v>13</v>
      </c>
      <c r="B25" s="51" t="n">
        <f aca="false">IRR(B22:F22)</f>
        <v>0.225201730479426</v>
      </c>
    </row>
    <row r="26" customFormat="false" ht="15" hidden="false" customHeight="false" outlineLevel="0" collapsed="false">
      <c r="A26" s="13" t="s">
        <v>15</v>
      </c>
      <c r="B26" s="49" t="n">
        <f aca="false">(SUM(C20:F20)+B15)/B7</f>
        <v>2.24403154770008</v>
      </c>
    </row>
    <row r="27" customFormat="false" ht="15" hidden="false" customHeight="false" outlineLevel="0" collapsed="false">
      <c r="A27" s="11" t="s">
        <v>147</v>
      </c>
      <c r="B27" s="38" t="n">
        <f aca="false">NPV(B10,C22:F22)</f>
        <v>15358.6962964838</v>
      </c>
    </row>
    <row r="28" customFormat="false" ht="15" hidden="false" customHeight="false" outlineLevel="0" collapsed="false">
      <c r="A28" s="15" t="s">
        <v>17</v>
      </c>
      <c r="B28" s="41" t="n">
        <f aca="false">B27/B6</f>
        <v>521.340675372837</v>
      </c>
    </row>
    <row r="29" customFormat="false" ht="15" hidden="false" customHeight="false" outlineLevel="0" collapsed="false">
      <c r="A29" s="13" t="s">
        <v>19</v>
      </c>
      <c r="B29" s="22" t="n">
        <f aca="false">B28/B5-1</f>
        <v>0.0861264070267438</v>
      </c>
    </row>
    <row r="31" customFormat="false" ht="15" hidden="false" customHeight="false" outlineLevel="0" collapsed="false">
      <c r="A31" s="8" t="s">
        <v>148</v>
      </c>
      <c r="B31" s="8"/>
      <c r="C31" s="8"/>
      <c r="D31" s="8"/>
      <c r="E31" s="8"/>
      <c r="F31" s="8"/>
    </row>
    <row r="32" customFormat="false" ht="15" hidden="false" customHeight="false" outlineLevel="0" collapsed="false">
      <c r="A32" s="11" t="s">
        <v>149</v>
      </c>
      <c r="B32" s="28" t="n">
        <v>10</v>
      </c>
      <c r="C32" s="28" t="n">
        <v>12</v>
      </c>
      <c r="D32" s="28" t="n">
        <v>14</v>
      </c>
      <c r="E32" s="28" t="n">
        <v>16</v>
      </c>
      <c r="F32" s="28" t="n">
        <v>18</v>
      </c>
    </row>
    <row r="33" customFormat="false" ht="15" hidden="false" customHeight="false" outlineLevel="0" collapsed="false">
      <c r="A33" s="13" t="s">
        <v>135</v>
      </c>
      <c r="B33" s="37" t="n">
        <f aca="false">B32*$B$13</f>
        <v>20890.6136263081</v>
      </c>
      <c r="C33" s="37" t="n">
        <f aca="false">C32*$B$13</f>
        <v>25068.7363515697</v>
      </c>
      <c r="D33" s="37" t="n">
        <f aca="false">D32*$B$13</f>
        <v>29246.8590768313</v>
      </c>
      <c r="E33" s="37" t="n">
        <f aca="false">E32*$B$13</f>
        <v>33424.9818020929</v>
      </c>
      <c r="F33" s="37" t="n">
        <f aca="false">F32*$B$13</f>
        <v>37603.1045273546</v>
      </c>
    </row>
    <row r="34" customFormat="false" ht="15" hidden="false" customHeight="false" outlineLevel="0" collapsed="false">
      <c r="A34" s="11" t="s">
        <v>17</v>
      </c>
      <c r="B34" s="41" t="n">
        <f aca="false">(NPV($B$10,$C$20:$F$20)+B33/(1+$B$10)^$B$8)/$B$6</f>
        <v>350.353525025084</v>
      </c>
      <c r="C34" s="41" t="n">
        <f aca="false">(NPV($B$10,$C$20:$F$20)+C33/(1+$B$10)^$B$8)/$B$6</f>
        <v>418.748385164185</v>
      </c>
      <c r="D34" s="41" t="n">
        <f aca="false">(NPV($B$10,$C$20:$F$20)+D33/(1+$B$10)^$B$8)/$B$6</f>
        <v>487.143245303286</v>
      </c>
      <c r="E34" s="41" t="n">
        <f aca="false">(NPV($B$10,$C$20:$F$20)+E33/(1+$B$10)^$B$8)/$B$6</f>
        <v>555.538105442388</v>
      </c>
      <c r="F34" s="41" t="n">
        <f aca="false">(NPV($B$10,$C$20:$F$20)+F33/(1+$B$10)^$B$8)/$B$6</f>
        <v>623.932965581489</v>
      </c>
    </row>
    <row r="35" customFormat="false" ht="15" hidden="false" customHeight="false" outlineLevel="0" collapsed="false">
      <c r="A35" s="13" t="s">
        <v>150</v>
      </c>
      <c r="B35" s="22" t="n">
        <f aca="false">((SUM($C$20:$F$20)+B33)/$B$7)^(1/$B$8)-1</f>
        <v>0.107670531914107</v>
      </c>
      <c r="C35" s="22" t="n">
        <f aca="false">((SUM($C$20:$F$20)+C33)/$B$7)^(1/$B$8)-1</f>
        <v>0.158426146529807</v>
      </c>
      <c r="D35" s="22" t="n">
        <f aca="false">((SUM($C$20:$F$20)+D33)/$B$7)^(1/$B$8)-1</f>
        <v>0.203270553218412</v>
      </c>
      <c r="E35" s="22" t="n">
        <f aca="false">((SUM($C$20:$F$20)+E33)/$B$7)^(1/$B$8)-1</f>
        <v>0.243596815924822</v>
      </c>
      <c r="F35" s="22" t="n">
        <f aca="false">((SUM($C$20:$F$20)+F33)/$B$7)^(1/$B$8)-1</f>
        <v>0.280342670307274</v>
      </c>
    </row>
    <row r="37" customFormat="false" ht="15" hidden="false" customHeight="true" outlineLevel="0" collapsed="false">
      <c r="A37" s="43" t="s">
        <v>151</v>
      </c>
      <c r="B37" s="43"/>
      <c r="C37" s="43"/>
      <c r="D37" s="43"/>
      <c r="E37" s="43"/>
      <c r="F37" s="43"/>
    </row>
  </sheetData>
  <mergeCells count="6">
    <mergeCell ref="A4:C4"/>
    <mergeCell ref="A12:C12"/>
    <mergeCell ref="A18:F18"/>
    <mergeCell ref="A24:C24"/>
    <mergeCell ref="A31:F31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2026-06-21T08:36:07Z</dcterms:created>
  <dc:creator>openpyxl</dc:creator>
  <dc:description/>
  <dc:language>en-US</dc:language>
  <cp:lastModifiedBy/>
  <dcterms:modified xsi:type="dcterms:W3CDTF">2026-06-21T08:36:07Z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