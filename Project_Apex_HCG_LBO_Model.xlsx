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ttacharya Bodhis\Downloads\"/>
    </mc:Choice>
  </mc:AlternateContent>
  <xr:revisionPtr revIDLastSave="0" documentId="13_ncr:1_{EA77EC17-1098-47EC-950A-1C62853D82E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README" sheetId="1" r:id="rId1"/>
    <sheet name="Assumptions" sheetId="2" r:id="rId2"/>
    <sheet name="Sources_Uses" sheetId="3" r:id="rId3"/>
    <sheet name="Operating_Model" sheetId="4" r:id="rId4"/>
    <sheet name="Debt_Schedule" sheetId="5" r:id="rId5"/>
    <sheet name="FCF_Returns" sheetId="6" r:id="rId6"/>
    <sheet name="Comparables" sheetId="7" r:id="rId7"/>
    <sheet name="Precedents" sheetId="8" r:id="rId8"/>
    <sheet name="Sensitivity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8" l="1"/>
  <c r="I18" i="8"/>
  <c r="I17" i="8"/>
  <c r="H19" i="7"/>
  <c r="I14" i="7"/>
  <c r="H14" i="7"/>
  <c r="E14" i="7"/>
  <c r="J14" i="7" s="1"/>
  <c r="H13" i="7"/>
  <c r="E13" i="7"/>
  <c r="J13" i="7" s="1"/>
  <c r="H12" i="7"/>
  <c r="E12" i="7"/>
  <c r="I12" i="7" s="1"/>
  <c r="J11" i="7"/>
  <c r="I11" i="7"/>
  <c r="H11" i="7"/>
  <c r="E11" i="7"/>
  <c r="H10" i="7"/>
  <c r="E10" i="7"/>
  <c r="J10" i="7" s="1"/>
  <c r="I9" i="7"/>
  <c r="H9" i="7"/>
  <c r="E9" i="7"/>
  <c r="J9" i="7" s="1"/>
  <c r="H8" i="7"/>
  <c r="E8" i="7"/>
  <c r="J8" i="7" s="1"/>
  <c r="H7" i="7"/>
  <c r="H17" i="7" s="1"/>
  <c r="E7" i="7"/>
  <c r="J7" i="7" s="1"/>
  <c r="J6" i="7"/>
  <c r="I6" i="7"/>
  <c r="H6" i="7"/>
  <c r="E6" i="7"/>
  <c r="C36" i="6"/>
  <c r="C34" i="6"/>
  <c r="C24" i="6"/>
  <c r="C15" i="6"/>
  <c r="C11" i="6"/>
  <c r="C10" i="6"/>
  <c r="C14" i="5"/>
  <c r="C17" i="5" s="1"/>
  <c r="D14" i="5" s="1"/>
  <c r="C9" i="5"/>
  <c r="D6" i="5" s="1"/>
  <c r="C6" i="5"/>
  <c r="I31" i="4"/>
  <c r="H31" i="4"/>
  <c r="G31" i="4"/>
  <c r="F31" i="4"/>
  <c r="E31" i="4"/>
  <c r="D31" i="4"/>
  <c r="C19" i="4"/>
  <c r="C33" i="4" s="1"/>
  <c r="D16" i="4"/>
  <c r="C16" i="4"/>
  <c r="D14" i="4"/>
  <c r="C14" i="4"/>
  <c r="I13" i="4"/>
  <c r="H13" i="4"/>
  <c r="G13" i="4"/>
  <c r="F13" i="4"/>
  <c r="E13" i="4"/>
  <c r="I12" i="4"/>
  <c r="I14" i="4" s="1"/>
  <c r="I16" i="4" s="1"/>
  <c r="H12" i="4"/>
  <c r="H14" i="4" s="1"/>
  <c r="H16" i="4" s="1"/>
  <c r="G12" i="4"/>
  <c r="G14" i="4" s="1"/>
  <c r="G16" i="4" s="1"/>
  <c r="F12" i="4"/>
  <c r="F14" i="4" s="1"/>
  <c r="F16" i="4" s="1"/>
  <c r="E12" i="4"/>
  <c r="E14" i="4" s="1"/>
  <c r="E16" i="4" s="1"/>
  <c r="C6" i="4"/>
  <c r="D6" i="4" s="1"/>
  <c r="C22" i="3"/>
  <c r="C20" i="3"/>
  <c r="C19" i="3"/>
  <c r="C18" i="3"/>
  <c r="E12" i="3"/>
  <c r="H11" i="3"/>
  <c r="C11" i="3"/>
  <c r="H10" i="3"/>
  <c r="C10" i="3"/>
  <c r="E9" i="3"/>
  <c r="C9" i="3"/>
  <c r="C8" i="3"/>
  <c r="E8" i="3" s="1"/>
  <c r="D11" i="5" l="1"/>
  <c r="D7" i="5"/>
  <c r="D11" i="6" s="1"/>
  <c r="J17" i="7"/>
  <c r="C24" i="7" s="1"/>
  <c r="E24" i="7" s="1"/>
  <c r="F24" i="7" s="1"/>
  <c r="J19" i="7"/>
  <c r="D15" i="5"/>
  <c r="D18" i="5"/>
  <c r="D9" i="3"/>
  <c r="E6" i="4"/>
  <c r="D7" i="4"/>
  <c r="D8" i="4"/>
  <c r="D19" i="4"/>
  <c r="H18" i="7"/>
  <c r="I8" i="7"/>
  <c r="I13" i="7"/>
  <c r="C22" i="4"/>
  <c r="C8" i="4"/>
  <c r="C30" i="4"/>
  <c r="C32" i="4" s="1"/>
  <c r="C9" i="6" s="1"/>
  <c r="C12" i="3"/>
  <c r="D10" i="3" s="1"/>
  <c r="I7" i="7"/>
  <c r="J12" i="7"/>
  <c r="J18" i="7" s="1"/>
  <c r="C22" i="5"/>
  <c r="H16" i="7"/>
  <c r="I10" i="7"/>
  <c r="I17" i="7" s="1"/>
  <c r="J16" i="7"/>
  <c r="C25" i="7" l="1"/>
  <c r="E25" i="7" s="1"/>
  <c r="F25" i="7" s="1"/>
  <c r="C23" i="7"/>
  <c r="E23" i="7" s="1"/>
  <c r="I16" i="7"/>
  <c r="I19" i="7"/>
  <c r="I18" i="7"/>
  <c r="D11" i="3"/>
  <c r="D33" i="4"/>
  <c r="D34" i="4" s="1"/>
  <c r="D10" i="6" s="1"/>
  <c r="D30" i="4"/>
  <c r="D32" i="4" s="1"/>
  <c r="D9" i="6" s="1"/>
  <c r="D22" i="4"/>
  <c r="D19" i="5"/>
  <c r="D17" i="5"/>
  <c r="E14" i="5" s="1"/>
  <c r="H8" i="3"/>
  <c r="C9" i="4"/>
  <c r="C20" i="4"/>
  <c r="D23" i="5"/>
  <c r="D24" i="4" s="1"/>
  <c r="D7" i="6"/>
  <c r="D9" i="4"/>
  <c r="D20" i="4"/>
  <c r="F6" i="4"/>
  <c r="E7" i="4"/>
  <c r="E8" i="4"/>
  <c r="E19" i="4"/>
  <c r="D8" i="3"/>
  <c r="D27" i="5" l="1"/>
  <c r="D23" i="4"/>
  <c r="D21" i="4"/>
  <c r="D6" i="6"/>
  <c r="E18" i="5"/>
  <c r="E15" i="5"/>
  <c r="E19" i="5" s="1"/>
  <c r="C23" i="4"/>
  <c r="C25" i="4" s="1"/>
  <c r="C6" i="6"/>
  <c r="C12" i="6" s="1"/>
  <c r="C16" i="6" s="1"/>
  <c r="C19" i="6" s="1"/>
  <c r="D15" i="6" s="1"/>
  <c r="C21" i="4"/>
  <c r="C26" i="5"/>
  <c r="C25" i="5"/>
  <c r="E9" i="4"/>
  <c r="E20" i="4"/>
  <c r="E26" i="7"/>
  <c r="F23" i="7"/>
  <c r="F26" i="7" s="1"/>
  <c r="H12" i="3"/>
  <c r="D12" i="3"/>
  <c r="E33" i="4"/>
  <c r="E34" i="4" s="1"/>
  <c r="E10" i="6" s="1"/>
  <c r="E30" i="4"/>
  <c r="E32" i="4" s="1"/>
  <c r="E9" i="6" s="1"/>
  <c r="E22" i="4"/>
  <c r="F7" i="4"/>
  <c r="F8" i="4"/>
  <c r="F19" i="4"/>
  <c r="G6" i="4"/>
  <c r="I9" i="3" l="1"/>
  <c r="I10" i="3"/>
  <c r="I11" i="3"/>
  <c r="C14" i="3"/>
  <c r="D14" i="3" s="1"/>
  <c r="F33" i="4"/>
  <c r="F34" i="4" s="1"/>
  <c r="F10" i="6" s="1"/>
  <c r="F22" i="4"/>
  <c r="F30" i="4"/>
  <c r="F32" i="4" s="1"/>
  <c r="F9" i="6" s="1"/>
  <c r="C26" i="4"/>
  <c r="C27" i="4" s="1"/>
  <c r="F9" i="4"/>
  <c r="F20" i="4"/>
  <c r="D8" i="6"/>
  <c r="D12" i="6" s="1"/>
  <c r="D16" i="6" s="1"/>
  <c r="D25" i="4"/>
  <c r="I8" i="3"/>
  <c r="I12" i="3" s="1"/>
  <c r="E23" i="4"/>
  <c r="E6" i="6"/>
  <c r="E21" i="4"/>
  <c r="G8" i="4"/>
  <c r="G19" i="4"/>
  <c r="G7" i="4"/>
  <c r="H6" i="4"/>
  <c r="E17" i="5"/>
  <c r="F14" i="5" s="1"/>
  <c r="D17" i="6" l="1"/>
  <c r="D8" i="5" s="1"/>
  <c r="F15" i="5"/>
  <c r="F19" i="5" s="1"/>
  <c r="F18" i="5"/>
  <c r="D26" i="4"/>
  <c r="D27" i="4" s="1"/>
  <c r="F23" i="4"/>
  <c r="F21" i="4"/>
  <c r="F6" i="6"/>
  <c r="H8" i="4"/>
  <c r="H19" i="4"/>
  <c r="H7" i="4"/>
  <c r="I6" i="4"/>
  <c r="G20" i="4"/>
  <c r="G9" i="4"/>
  <c r="G33" i="4"/>
  <c r="G34" i="4" s="1"/>
  <c r="G10" i="6" s="1"/>
  <c r="G30" i="4"/>
  <c r="G32" i="4" s="1"/>
  <c r="G9" i="6" s="1"/>
  <c r="G22" i="4"/>
  <c r="G23" i="4" l="1"/>
  <c r="G21" i="4"/>
  <c r="G6" i="6"/>
  <c r="H33" i="4"/>
  <c r="H34" i="4" s="1"/>
  <c r="H10" i="6" s="1"/>
  <c r="H30" i="4"/>
  <c r="H32" i="4" s="1"/>
  <c r="H9" i="6" s="1"/>
  <c r="H22" i="4"/>
  <c r="F17" i="5"/>
  <c r="G14" i="5" s="1"/>
  <c r="I8" i="4"/>
  <c r="I19" i="4"/>
  <c r="I7" i="4"/>
  <c r="D18" i="6"/>
  <c r="D19" i="6" s="1"/>
  <c r="E15" i="6" s="1"/>
  <c r="D9" i="5"/>
  <c r="H20" i="4"/>
  <c r="H9" i="4"/>
  <c r="G17" i="5" l="1"/>
  <c r="H14" i="5" s="1"/>
  <c r="G18" i="5"/>
  <c r="G15" i="5"/>
  <c r="G19" i="5" s="1"/>
  <c r="H21" i="4"/>
  <c r="H23" i="4"/>
  <c r="H6" i="6"/>
  <c r="D26" i="5"/>
  <c r="D22" i="5"/>
  <c r="D25" i="5" s="1"/>
  <c r="E6" i="5"/>
  <c r="D10" i="5"/>
  <c r="I9" i="4"/>
  <c r="I20" i="4"/>
  <c r="I33" i="4"/>
  <c r="I34" i="4" s="1"/>
  <c r="I10" i="6" s="1"/>
  <c r="I30" i="4"/>
  <c r="I32" i="4" s="1"/>
  <c r="I9" i="6" s="1"/>
  <c r="I22" i="4"/>
  <c r="C37" i="4" l="1"/>
  <c r="C23" i="6"/>
  <c r="C25" i="6" s="1"/>
  <c r="I6" i="6"/>
  <c r="I21" i="4"/>
  <c r="I23" i="4"/>
  <c r="E11" i="5"/>
  <c r="E7" i="5"/>
  <c r="E11" i="6" s="1"/>
  <c r="H18" i="5"/>
  <c r="H15" i="5"/>
  <c r="H19" i="5" s="1"/>
  <c r="H17" i="5" l="1"/>
  <c r="I14" i="5" s="1"/>
  <c r="E7" i="6"/>
  <c r="E23" i="5"/>
  <c r="E24" i="4" l="1"/>
  <c r="E27" i="5"/>
  <c r="I15" i="5"/>
  <c r="I18" i="5"/>
  <c r="I19" i="5" l="1"/>
  <c r="I17" i="5"/>
  <c r="E8" i="6"/>
  <c r="E12" i="6" s="1"/>
  <c r="E16" i="6" s="1"/>
  <c r="E25" i="4"/>
  <c r="E26" i="4" l="1"/>
  <c r="E27" i="4"/>
  <c r="E17" i="6"/>
  <c r="E8" i="5" s="1"/>
  <c r="E18" i="6" l="1"/>
  <c r="E19" i="6" s="1"/>
  <c r="F15" i="6" s="1"/>
  <c r="E9" i="5"/>
  <c r="E22" i="5" l="1"/>
  <c r="E25" i="5" s="1"/>
  <c r="E26" i="5"/>
  <c r="F6" i="5"/>
  <c r="E10" i="5"/>
  <c r="F11" i="5" l="1"/>
  <c r="F7" i="5"/>
  <c r="F11" i="6" s="1"/>
  <c r="F7" i="6" l="1"/>
  <c r="F23" i="5"/>
  <c r="F24" i="4" l="1"/>
  <c r="F27" i="5"/>
  <c r="F25" i="4" l="1"/>
  <c r="F8" i="6"/>
  <c r="F12" i="6" s="1"/>
  <c r="F16" i="6" s="1"/>
  <c r="F17" i="6" l="1"/>
  <c r="F8" i="5" s="1"/>
  <c r="F26" i="4"/>
  <c r="F27" i="4"/>
  <c r="F18" i="6" l="1"/>
  <c r="F19" i="6" s="1"/>
  <c r="G15" i="6" s="1"/>
  <c r="F9" i="5"/>
  <c r="F22" i="5" l="1"/>
  <c r="F25" i="5" s="1"/>
  <c r="F26" i="5"/>
  <c r="G6" i="5"/>
  <c r="F10" i="5"/>
  <c r="G11" i="5" l="1"/>
  <c r="G7" i="5"/>
  <c r="G11" i="6" s="1"/>
  <c r="G7" i="6" l="1"/>
  <c r="G23" i="5"/>
  <c r="G24" i="4" l="1"/>
  <c r="G27" i="5"/>
  <c r="G8" i="6" l="1"/>
  <c r="G12" i="6" s="1"/>
  <c r="G16" i="6" s="1"/>
  <c r="G25" i="4"/>
  <c r="G26" i="4" l="1"/>
  <c r="G27" i="4"/>
  <c r="G17" i="6"/>
  <c r="G8" i="5" s="1"/>
  <c r="G18" i="6" l="1"/>
  <c r="G19" i="6" s="1"/>
  <c r="H15" i="6" s="1"/>
  <c r="G9" i="5"/>
  <c r="G26" i="5" l="1"/>
  <c r="G22" i="5"/>
  <c r="G25" i="5" s="1"/>
  <c r="H6" i="5"/>
  <c r="G10" i="5"/>
  <c r="H11" i="5" l="1"/>
  <c r="H7" i="5"/>
  <c r="H11" i="6" s="1"/>
  <c r="H7" i="6" l="1"/>
  <c r="H23" i="5"/>
  <c r="H24" i="4" l="1"/>
  <c r="H27" i="5"/>
  <c r="H25" i="4" l="1"/>
  <c r="H8" i="6"/>
  <c r="H12" i="6" s="1"/>
  <c r="H16" i="6" s="1"/>
  <c r="H17" i="6" l="1"/>
  <c r="H8" i="5" s="1"/>
  <c r="H26" i="4"/>
  <c r="H27" i="4"/>
  <c r="H18" i="6" l="1"/>
  <c r="H19" i="6" s="1"/>
  <c r="I15" i="6" s="1"/>
  <c r="H9" i="5"/>
  <c r="H26" i="5" l="1"/>
  <c r="H22" i="5"/>
  <c r="H25" i="5" s="1"/>
  <c r="I6" i="5"/>
  <c r="H10" i="5"/>
  <c r="I11" i="5" l="1"/>
  <c r="I7" i="5"/>
  <c r="I11" i="6" s="1"/>
  <c r="I7" i="6" l="1"/>
  <c r="I23" i="5"/>
  <c r="I24" i="4" l="1"/>
  <c r="I27" i="5"/>
  <c r="I25" i="4" l="1"/>
  <c r="I8" i="6"/>
  <c r="I12" i="6" s="1"/>
  <c r="I16" i="6" s="1"/>
  <c r="I17" i="6" l="1"/>
  <c r="I8" i="5" s="1"/>
  <c r="I26" i="4"/>
  <c r="I27" i="4" s="1"/>
  <c r="I18" i="6" l="1"/>
  <c r="I19" i="6" s="1"/>
  <c r="C27" i="6" s="1"/>
  <c r="I9" i="5"/>
  <c r="I26" i="5" l="1"/>
  <c r="I22" i="5"/>
  <c r="I10" i="5"/>
  <c r="I25" i="5" l="1"/>
  <c r="C26" i="6"/>
  <c r="C28" i="6" s="1"/>
  <c r="C29" i="6" l="1"/>
  <c r="C30" i="6" s="1"/>
  <c r="C35" i="6" s="1"/>
  <c r="C38" i="6" l="1"/>
  <c r="C3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9" authorId="0" shapeId="0" xr:uid="{00000000-0006-0000-0200-000001000000}">
      <text>
        <r>
          <rPr>
            <sz val="10"/>
            <rFont val="Arial"/>
            <family val="2"/>
          </rPr>
          <t>HCG net debt as of FY25; refinanced at close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3" authorId="0" shapeId="0" xr:uid="{00000000-0006-0000-0600-000001000000}">
      <text>
        <r>
          <rPr>
            <sz val="10"/>
            <rFont val="Arial"/>
            <family val="2"/>
          </rPr>
          <t>Less HCG net debt of ₹600 Cr</t>
        </r>
      </text>
    </comment>
    <comment ref="F24" authorId="0" shapeId="0" xr:uid="{00000000-0006-0000-0600-000002000000}">
      <text>
        <r>
          <rPr>
            <sz val="10"/>
            <rFont val="Arial"/>
            <family val="2"/>
          </rPr>
          <t>Less HCG net debt of ₹600 Cr</t>
        </r>
      </text>
    </comment>
    <comment ref="F25" authorId="0" shapeId="0" xr:uid="{00000000-0006-0000-0600-000003000000}">
      <text>
        <r>
          <rPr>
            <sz val="10"/>
            <rFont val="Arial"/>
            <family val="2"/>
          </rPr>
          <t>Less HCG net debt of ₹600 Cr</t>
        </r>
      </text>
    </comment>
  </commentList>
</comments>
</file>

<file path=xl/sharedStrings.xml><?xml version="1.0" encoding="utf-8"?>
<sst xmlns="http://schemas.openxmlformats.org/spreadsheetml/2006/main" count="532" uniqueCount="435">
  <si>
    <t>TRANSACTION SUMMARY</t>
  </si>
  <si>
    <t>Target</t>
  </si>
  <si>
    <t>Healthcare Global Enterprises Ltd. (HCG)</t>
  </si>
  <si>
    <t>Sector</t>
  </si>
  <si>
    <t>Healthcare — Specialty Oncology</t>
  </si>
  <si>
    <t>Geography</t>
  </si>
  <si>
    <t>Pan-India (22 cancer centers)</t>
  </si>
  <si>
    <t>Status</t>
  </si>
  <si>
    <t>Listed on NSE/BSE; ~76% controlled by KKR (via Aceso Co.)</t>
  </si>
  <si>
    <t>Enterprise Value</t>
  </si>
  <si>
    <t>₹8,500 Cr (~$1.02 Bn at ₹83.5/$)</t>
  </si>
  <si>
    <t>Entry Multiple</t>
  </si>
  <si>
    <t>22.4x FY25 EBITDA / 18.0x FY27E EBITDA</t>
  </si>
  <si>
    <t>Total Leverage</t>
  </si>
  <si>
    <t>₹4,250 Cr (50% of EV) — 11.2x FY25 EBITDA</t>
  </si>
  <si>
    <t>Sponsor Equity</t>
  </si>
  <si>
    <t>₹3,825 Cr (45% of Sources) — Max Healthcare</t>
  </si>
  <si>
    <t>Holding Period</t>
  </si>
  <si>
    <t>5 years (close FY26 → exit FY31)</t>
  </si>
  <si>
    <t>Base Case Exit</t>
  </si>
  <si>
    <t>18.0x EBITDA — IRR 29% / MOIC 3.6x (with synergies)</t>
  </si>
  <si>
    <t>SHEET MAP</t>
  </si>
  <si>
    <t>1. README</t>
  </si>
  <si>
    <t>This sheet — overview, conventions, sheet map</t>
  </si>
  <si>
    <t>2. Assumptions</t>
  </si>
  <si>
    <t>All hardcoded inputs (blue) with sourced rationale</t>
  </si>
  <si>
    <t>3. Sources &amp; Uses</t>
  </si>
  <si>
    <t>Transaction funding structure &amp; purchase price build</t>
  </si>
  <si>
    <t>4. Operating Model</t>
  </si>
  <si>
    <t>5-year P&amp;L: revenue build, EBITDA, capex, with synergies layer</t>
  </si>
  <si>
    <t>5. Debt Schedule</t>
  </si>
  <si>
    <t>Senior TLB + Mezzanine schedule, mandatory amort + cash sweep</t>
  </si>
  <si>
    <t>6. FCF &amp; Returns</t>
  </si>
  <si>
    <t>FCF build, debt paydown, exit equity, IRR &amp; MOIC waterfall</t>
  </si>
  <si>
    <t>7. Comparables</t>
  </si>
  <si>
    <t>Trading multiples — listed Indian hospital peers (entry/exit anchor)</t>
  </si>
  <si>
    <t>8. Precedents</t>
  </si>
  <si>
    <t>Recent healthcare M&amp;A — entry multiple validation</t>
  </si>
  <si>
    <t>9. Sensitivity</t>
  </si>
  <si>
    <t>IRR / MOIC sensitivities to entry × exit × leverage × synergy</t>
  </si>
  <si>
    <t>MODEL CONVENTIONS</t>
  </si>
  <si>
    <t>BLUE TEXT</t>
  </si>
  <si>
    <t>Hardcoded inputs / scenario drivers — these are the cells you change</t>
  </si>
  <si>
    <t>BLACK TEXT</t>
  </si>
  <si>
    <t>Formulas / calculations — do not overwrite</t>
  </si>
  <si>
    <t>GREEN TEXT</t>
  </si>
  <si>
    <t>Cross-sheet links pulling from another tab</t>
  </si>
  <si>
    <t>YELLOW FILL</t>
  </si>
  <si>
    <t>Key assumptions or cells flagged for case team attention</t>
  </si>
  <si>
    <t>(parentheses)</t>
  </si>
  <si>
    <t>Negative values shown with parentheses — accounting convention</t>
  </si>
  <si>
    <t>Units</t>
  </si>
  <si>
    <t>All ₹ figures in Crores (₹ Cr) unless stated; FX = ₹83.5/USD</t>
  </si>
  <si>
    <t>Fiscal Year</t>
  </si>
  <si>
    <t>Indian FY (April–March); FY25 = Apr'24–Mar'25; FY26 = Year 0 (close)</t>
  </si>
  <si>
    <t>Assumptions Tab — All Inputs &amp; Rationale</t>
  </si>
  <si>
    <t>Driver</t>
  </si>
  <si>
    <t>Value</t>
  </si>
  <si>
    <t>Unit</t>
  </si>
  <si>
    <t>Source / Rationale</t>
  </si>
  <si>
    <t>1. TRANSACTION TERMS</t>
  </si>
  <si>
    <t>Target Enterprise Value</t>
  </si>
  <si>
    <t>₹ Cr</t>
  </si>
  <si>
    <t>Implied 22.4x FY25 EBITDA — premium to ~17x trading multiple reflecting 76% control + scarcity</t>
  </si>
  <si>
    <t>Entry EV / FY25 EBITDA</t>
  </si>
  <si>
    <t>x</t>
  </si>
  <si>
    <t>Triangulated from peers (Apollo 28x, KIMS 30x, Rainbow 32x) — discount for KKR exit + controlled mkt</t>
  </si>
  <si>
    <t>FX Rate (₹/$)</t>
  </si>
  <si>
    <t>₹/USD</t>
  </si>
  <si>
    <t>Bloomberg, INR/USD spot, May 2026</t>
  </si>
  <si>
    <t>Transaction Fees (% of EV)</t>
  </si>
  <si>
    <t>%</t>
  </si>
  <si>
    <t>M&amp;A advisor 1%, financing 0.7%, legal/DD 0.5% — Goldman benchmark for ₹8.5K Cr deal</t>
  </si>
  <si>
    <t>Min Cash to B/S at Close</t>
  </si>
  <si>
    <t>Working capital + 1 month opex buffer per credit committee</t>
  </si>
  <si>
    <t>2. CAPITAL STRUCTURE</t>
  </si>
  <si>
    <t>Senior TLB — Quantum</t>
  </si>
  <si>
    <t>40% of Sources; ~9.0x FY25 EBITDA — lender-tested ceiling for HC LBO in India</t>
  </si>
  <si>
    <t>Senior TLB — Tenor</t>
  </si>
  <si>
    <t>years</t>
  </si>
  <si>
    <t>Bullet at maturity; matches sponsor hold; refinanceable Y3</t>
  </si>
  <si>
    <t>Senior TLB — Coupon (SOFR + bps)</t>
  </si>
  <si>
    <t>SOFR ~5.5% + 450bps = 11.0%; consistent with 2024-25 healthcare LBOs (Care, Hexagon)</t>
  </si>
  <si>
    <t>Senior TLB — Mandatory Amort</t>
  </si>
  <si>
    <t>% / yr</t>
  </si>
  <si>
    <t>1% per year mandatory; balance bullet — standard TLB structure</t>
  </si>
  <si>
    <t>Mezzanine — Quantum</t>
  </si>
  <si>
    <t>10% of Sources; subordinated to TLB; PIK toggle</t>
  </si>
  <si>
    <t>Mezzanine — Coupon (cash + PIK)</t>
  </si>
  <si>
    <t>14.5% blended (10% cash + 4.5% PIK accrual); priced at 350bps over TLB</t>
  </si>
  <si>
    <t>Sponsor Equity (Max Healthcare)</t>
  </si>
  <si>
    <t>45% of Sources; balance after debt + rollover</t>
  </si>
  <si>
    <t>Mgmt Rollover Equity</t>
  </si>
  <si>
    <t>5% of Sources; aligns mgmt to long-term value (Dr. BS Ajaikumar et al.)</t>
  </si>
  <si>
    <t>Cash Sweep — % of Excess FCF</t>
  </si>
  <si>
    <t>75% above min cash; standard TLB covenant (Indian LBO market)</t>
  </si>
  <si>
    <t>Min Cash Balance Threshold</t>
  </si>
  <si>
    <t>Operating buffer; below this, no sweep</t>
  </si>
  <si>
    <t>3. OPERATING — REVENUE BUILD</t>
  </si>
  <si>
    <t>FY25 Revenue (LTM)</t>
  </si>
  <si>
    <t>HCG FY25 reported (annualized); IR investor presentation Q4 FY25</t>
  </si>
  <si>
    <t>Revenue Growth FY26 (Y0)</t>
  </si>
  <si>
    <t>Mid-case — moderated from initial estimates per CDD</t>
  </si>
  <si>
    <t>Revenue Growth FY27 (Y1)</t>
  </si>
  <si>
    <t>Specialty oncology growing 18-22% nationally; HCG comps growing 16-18%</t>
  </si>
  <si>
    <t>Revenue Growth FY28 (Y2)</t>
  </si>
  <si>
    <t>Maturing centers + Max network referrals begin</t>
  </si>
  <si>
    <t>Revenue Growth FY29 (Y3)</t>
  </si>
  <si>
    <t>Full network synergy realized + new center contributions</t>
  </si>
  <si>
    <t>Revenue Growth FY30 (Y4)</t>
  </si>
  <si>
    <t>Tapering; market share gains slow</t>
  </si>
  <si>
    <t>Revenue Growth FY31 (Y5)</t>
  </si>
  <si>
    <t>Tapering to long-run sector growth; mid-case</t>
  </si>
  <si>
    <t>4. OPERATING — MARGIN BUILD</t>
  </si>
  <si>
    <t>FY25 EBITDA Margin (LTM)</t>
  </si>
  <si>
    <t>HCG FY25 ~18% reported; mid-case scenario per BCG CDD benchmarks</t>
  </si>
  <si>
    <t>FY26 EBITDA Margin</t>
  </si>
  <si>
    <t>+100bps from new centers maturing past breakeven</t>
  </si>
  <si>
    <t>FY27 EBITDA Margin</t>
  </si>
  <si>
    <t>+100bps from procurement synergy Y1 (full year)</t>
  </si>
  <si>
    <t>FY28 EBITDA Margin</t>
  </si>
  <si>
    <t>+150bps revenue mix shift to high-end onco + cost synergies ramp</t>
  </si>
  <si>
    <t>FY29 EBITDA Margin</t>
  </si>
  <si>
    <t>+100bps full network procurement + Max GPO leverage</t>
  </si>
  <si>
    <t>FY30 EBITDA Margin</t>
  </si>
  <si>
    <t>+50bps continued mix shift; benchmarks at peer mid-quartile</t>
  </si>
  <si>
    <t>FY31 EBITDA Margin</t>
  </si>
  <si>
    <t>+25bps tail; mid-case below peer mid-quartile</t>
  </si>
  <si>
    <t>5. D&amp;A, CAPEX &amp; TAX</t>
  </si>
  <si>
    <t>D&amp;A as % of Revenue</t>
  </si>
  <si>
    <t>Historical 7-8%; declines to 6.5% as capex normalizes</t>
  </si>
  <si>
    <t>Maintenance Capex (% of Revenue)</t>
  </si>
  <si>
    <t>Industry standard 3-5% for hospitals; HCG mid-cycle</t>
  </si>
  <si>
    <t>Growth Capex FY26</t>
  </si>
  <si>
    <t>2 new centers committed pre-deal (Mumbai Bandra, Lucknow)</t>
  </si>
  <si>
    <t>Growth Capex FY27</t>
  </si>
  <si>
    <t>Bangalore expansion + Hyderabad upgrade</t>
  </si>
  <si>
    <t>Growth Capex FY28</t>
  </si>
  <si>
    <t>Tapering — 1 new center per year</t>
  </si>
  <si>
    <t>Growth Capex FY29-31</t>
  </si>
  <si>
    <t>₹ Cr / yr</t>
  </si>
  <si>
    <t>Selective expansion; ROIC threshold 15%+</t>
  </si>
  <si>
    <t>Effective Tax Rate</t>
  </si>
  <si>
    <t>India corporate tax 25.17% (concessional regime); HCG already at this rate</t>
  </si>
  <si>
    <t>NWC as % of Revenue</t>
  </si>
  <si>
    <t>DSO 95 days, DPO 50 days, inventory 10 days; normal HC profile</t>
  </si>
  <si>
    <t>6. SYNERGIES (vs Standalone — incremental EBITDA)</t>
  </si>
  <si>
    <t>Revenue Synergy Run-Rate by Y3</t>
  </si>
  <si>
    <t>Max network referrals (40% leakage capture) + ARPOB lift on cross-sold patients</t>
  </si>
  <si>
    <t>Cost Synergy Run-Rate by Y3</t>
  </si>
  <si>
    <t>12% saving on ₹830 Cr pharma + corporate consolidation</t>
  </si>
  <si>
    <t>Synergy Phasing — Y1</t>
  </si>
  <si>
    <t>20% of run-rate in Year 1 — quick wins (procurement)</t>
  </si>
  <si>
    <t>Synergy Phasing — Y2</t>
  </si>
  <si>
    <t>55% — cross-sell ramps + IT integration</t>
  </si>
  <si>
    <t>Synergy Phasing — Y3</t>
  </si>
  <si>
    <t>100% run-rate achieved</t>
  </si>
  <si>
    <t>Synergy Phasing — Y4</t>
  </si>
  <si>
    <t>Continued cross-sell maturation +10%</t>
  </si>
  <si>
    <t>Synergy Phasing — Y5</t>
  </si>
  <si>
    <t>Final 5% from network maturity</t>
  </si>
  <si>
    <t>One-Time Integration Cost (allocated to HCG)</t>
  </si>
  <si>
    <t>Y1 ₹120 + Y2 ₹80; IT, branding, severance — netted against EBITDA</t>
  </si>
  <si>
    <t>7. EXIT ASSUMPTIONS</t>
  </si>
  <si>
    <t>Exit Multiple — Base</t>
  </si>
  <si>
    <t>FY30 EV/EBITDA — applied to LTM EBITDA + run-rate synergies</t>
  </si>
  <si>
    <t>Exit Multiple — Downside</t>
  </si>
  <si>
    <t>Trough scenario — Indian HC sector de-rating</t>
  </si>
  <si>
    <t>Exit Multiple — Upside</t>
  </si>
  <si>
    <t>Premium for #1 oncology platform; matches Apollo/KIMS</t>
  </si>
  <si>
    <t>Exit Year</t>
  </si>
  <si>
    <t>yrs</t>
  </si>
  <si>
    <t>Standard PE hold; refinance optionality at Y3</t>
  </si>
  <si>
    <t>Sources &amp; Uses Schedule (₹ Cr)</t>
  </si>
  <si>
    <t>Transaction close: April 2026 (FY26 starting balance sheet)</t>
  </si>
  <si>
    <t>SOURCES OF FUNDS</t>
  </si>
  <si>
    <t>USES OF FUNDS</t>
  </si>
  <si>
    <t>Source</t>
  </si>
  <si>
    <t>Amount (₹ Cr)</t>
  </si>
  <si>
    <t>% of Total</t>
  </si>
  <si>
    <t>x EBITDA</t>
  </si>
  <si>
    <t>Use</t>
  </si>
  <si>
    <t>Senior Term Loan B (5-year)</t>
  </si>
  <si>
    <t>Equity Purchase (76% KKR + minorities)</t>
  </si>
  <si>
    <t>Mezzanine / Subordinated Debt</t>
  </si>
  <si>
    <t>Refinance Existing HCG Debt</t>
  </si>
  <si>
    <t>—</t>
  </si>
  <si>
    <t>Cash to Balance Sheet (min cash)</t>
  </si>
  <si>
    <t>Transaction Fees &amp; Expenses</t>
  </si>
  <si>
    <t>Total Sources</t>
  </si>
  <si>
    <t>Total Uses</t>
  </si>
  <si>
    <t>CHECK: Sources = Uses</t>
  </si>
  <si>
    <t>PURCHASE PRICE BUILD-UP</t>
  </si>
  <si>
    <t>Implied 22.4x FY25 EBITDA</t>
  </si>
  <si>
    <t>(+) Cash to B/S</t>
  </si>
  <si>
    <t>Operating cushion</t>
  </si>
  <si>
    <t>(+) Transaction Fees</t>
  </si>
  <si>
    <t>M&amp;A advisor + financing + legal</t>
  </si>
  <si>
    <t>(–) Existing Debt Refinanced</t>
  </si>
  <si>
    <t>Net debt taken out at close</t>
  </si>
  <si>
    <t>(=) Total Funding Required</t>
  </si>
  <si>
    <t>Equals Total Uses</t>
  </si>
  <si>
    <t>HCG Operating Model — 5-Year Projection (₹ Cr)</t>
  </si>
  <si>
    <t>Driver / Line Item</t>
  </si>
  <si>
    <t>FY25A</t>
  </si>
  <si>
    <t>FY26 (Y0)</t>
  </si>
  <si>
    <t>FY27 (Y1)</t>
  </si>
  <si>
    <t>FY28 (Y2)</t>
  </si>
  <si>
    <t>FY29 (Y3)</t>
  </si>
  <si>
    <t>FY30 (Y4)</t>
  </si>
  <si>
    <t>FY31 (Y5)</t>
  </si>
  <si>
    <t>STANDALONE OPERATING MODEL</t>
  </si>
  <si>
    <t>Revenue</t>
  </si>
  <si>
    <t xml:space="preserve">    Growth %</t>
  </si>
  <si>
    <t>EBITDA (Standalone)</t>
  </si>
  <si>
    <t xml:space="preserve">    EBITDA Margin %</t>
  </si>
  <si>
    <t>SYNERGIES (Incremental EBITDA from Max integration)</t>
  </si>
  <si>
    <t>Revenue Synergies</t>
  </si>
  <si>
    <t>Cost Synergies</t>
  </si>
  <si>
    <t>Total Synergies (incl.)</t>
  </si>
  <si>
    <t>(–) Integration Cost</t>
  </si>
  <si>
    <t>Net Synergy Impact on EBITDA</t>
  </si>
  <si>
    <t>CONSOLIDATED P&amp;L (Standalone + Synergies)</t>
  </si>
  <si>
    <t>Total Revenue</t>
  </si>
  <si>
    <t>Total EBITDA</t>
  </si>
  <si>
    <t>(–) D&amp;A</t>
  </si>
  <si>
    <t>EBIT</t>
  </si>
  <si>
    <t>(–) Interest Expense</t>
  </si>
  <si>
    <t>Pre-Tax Income</t>
  </si>
  <si>
    <t>(–) Taxes</t>
  </si>
  <si>
    <t>Net Income</t>
  </si>
  <si>
    <t>CAPEX &amp; WORKING CAPITAL</t>
  </si>
  <si>
    <t>Maintenance Capex</t>
  </si>
  <si>
    <t>Growth Capex</t>
  </si>
  <si>
    <t>Total Capex</t>
  </si>
  <si>
    <t>Net Working Capital (NWC)</t>
  </si>
  <si>
    <t>(Increase) / Decrease in NWC</t>
  </si>
  <si>
    <t>KEY METRICS / VALUATION ANCHORS</t>
  </si>
  <si>
    <t>LTM EBITDA at Exit Year (₹ Cr)</t>
  </si>
  <si>
    <t>Debt Schedule — Senior TLB + Mezzanine</t>
  </si>
  <si>
    <t>Tranche / Line Item</t>
  </si>
  <si>
    <t>Close FY26</t>
  </si>
  <si>
    <t>FY26</t>
  </si>
  <si>
    <t>FY27</t>
  </si>
  <si>
    <t>FY28</t>
  </si>
  <si>
    <t>FY29</t>
  </si>
  <si>
    <t>FY30</t>
  </si>
  <si>
    <t>FY31</t>
  </si>
  <si>
    <t>SENIOR TERM LOAN B (5-year)</t>
  </si>
  <si>
    <t>Beginning Balance</t>
  </si>
  <si>
    <t>(–) Mandatory Amortization</t>
  </si>
  <si>
    <t>(–) Optional Cash Sweep</t>
  </si>
  <si>
    <t>Ending Balance</t>
  </si>
  <si>
    <t xml:space="preserve">    (Avg Balance — informational)</t>
  </si>
  <si>
    <t xml:space="preserve">    Interest Expense</t>
  </si>
  <si>
    <t>MEZZANINE / SUB-DEBT (PIK toggle)</t>
  </si>
  <si>
    <t>(+) PIK Accrual (4.5%)</t>
  </si>
  <si>
    <t>(–) Repayment</t>
  </si>
  <si>
    <t xml:space="preserve">    Cash Interest (10%)</t>
  </si>
  <si>
    <t xml:space="preserve">    Total Mezz Interest (cash + PIK)</t>
  </si>
  <si>
    <t>TOTAL DEBT &amp; INTEREST</t>
  </si>
  <si>
    <t>Total Debt (TLB + Mezz)</t>
  </si>
  <si>
    <t>Total Interest Expense</t>
  </si>
  <si>
    <t>Net Debt / EBITDA (Total Leverage)</t>
  </si>
  <si>
    <t>Senior Debt / EBITDA</t>
  </si>
  <si>
    <t>Interest Coverage (EBITDA / Interest)</t>
  </si>
  <si>
    <t>Free Cash Flow &amp; Sponsor Returns</t>
  </si>
  <si>
    <t>FREE CASH FLOW BUILD</t>
  </si>
  <si>
    <t>EBITDA (incl. synergies)</t>
  </si>
  <si>
    <t>(–) Cash Interest</t>
  </si>
  <si>
    <t>(–) Cash Taxes</t>
  </si>
  <si>
    <t>(–) Capex (Maint + Growth)</t>
  </si>
  <si>
    <t>(–/+) Change in NWC</t>
  </si>
  <si>
    <t>(–) Mandatory Debt Amortization</t>
  </si>
  <si>
    <t>Levered FCF (pre-sweep)</t>
  </si>
  <si>
    <t>CASH BALANCE WALK &amp; SWEEP</t>
  </si>
  <si>
    <t>Beginning Cash</t>
  </si>
  <si>
    <t>(+) Levered FCF</t>
  </si>
  <si>
    <t>Available for Sweep (above min cash)</t>
  </si>
  <si>
    <t>(–) Cash Sweep to Debt</t>
  </si>
  <si>
    <t>Ending Cash</t>
  </si>
  <si>
    <t>EXIT EQUITY VALUE WATERFALL (FY31 / Year 5)</t>
  </si>
  <si>
    <t>Component</t>
  </si>
  <si>
    <t>Value (₹ Cr)</t>
  </si>
  <si>
    <t>Notes</t>
  </si>
  <si>
    <t>Exit LTM EBITDA (FY31, incl. synergies)</t>
  </si>
  <si>
    <t>From Operating Model row 20</t>
  </si>
  <si>
    <t>× Exit Multiple (Base case)</t>
  </si>
  <si>
    <t>FY30 EV/EBITDA at exit</t>
  </si>
  <si>
    <t>(=) Exit Enterprise Value</t>
  </si>
  <si>
    <t>EBITDA × Multiple</t>
  </si>
  <si>
    <t>(–) Net Debt at Exit (TLB + Mezz Ending)</t>
  </si>
  <si>
    <t>From Debt Schedule</t>
  </si>
  <si>
    <t>(+) Cash at Exit</t>
  </si>
  <si>
    <t>From cash walk</t>
  </si>
  <si>
    <t>(=) Exit Equity Value</t>
  </si>
  <si>
    <t>Total equity to all sponsors</t>
  </si>
  <si>
    <t>(–) Mgmt Rollover Share (5%)</t>
  </si>
  <si>
    <t>Pro-rata to management</t>
  </si>
  <si>
    <t>(=) Equity to Max Healthcare Sponsor</t>
  </si>
  <si>
    <t>Net to Max Healthcare</t>
  </si>
  <si>
    <t>SPONSOR RETURNS — MAX HEALTHCARE</t>
  </si>
  <si>
    <t>Metric</t>
  </si>
  <si>
    <t>Sponsor Equity Investment (Max)</t>
  </si>
  <si>
    <t>Initial cash equity at close (₹ Cr)</t>
  </si>
  <si>
    <t>Equity Proceeds at Exit (Max)</t>
  </si>
  <si>
    <t>From exit waterfall (₹ Cr)</t>
  </si>
  <si>
    <t>Hold Period (years)</t>
  </si>
  <si>
    <t>Years</t>
  </si>
  <si>
    <t>MOIC (Multiple of Invested Capital)</t>
  </si>
  <si>
    <t>Exit / Invested</t>
  </si>
  <si>
    <t>IRR (Internal Rate of Return)</t>
  </si>
  <si>
    <t>Annualized return</t>
  </si>
  <si>
    <t>Trading Comparables — Listed Indian Hospital Peers</t>
  </si>
  <si>
    <t>Source: NSE/BSE filings, Bloomberg consensus, company IR — figures as of May 2026 | All ₹ in Cr unless noted</t>
  </si>
  <si>
    <t>Company</t>
  </si>
  <si>
    <t>Mkt Cap (₹ Cr)</t>
  </si>
  <si>
    <t>Net Debt (₹ Cr)</t>
  </si>
  <si>
    <t>EV (₹ Cr)</t>
  </si>
  <si>
    <t>FY25 Rev (₹ Cr)</t>
  </si>
  <si>
    <t>FY25 EBITDA (₹ Cr)</t>
  </si>
  <si>
    <t>EBITDA Margin</t>
  </si>
  <si>
    <t>EV / FY25 EBITDA</t>
  </si>
  <si>
    <t>EV / FY27E EBITDA</t>
  </si>
  <si>
    <t>Apollo Hospitals</t>
  </si>
  <si>
    <t>Max Healthcare (acquirer)</t>
  </si>
  <si>
    <t>Fortis Healthcare</t>
  </si>
  <si>
    <t>Narayana Hrudayalaya</t>
  </si>
  <si>
    <t>KIMS Hospitals</t>
  </si>
  <si>
    <t>Rainbow Children's</t>
  </si>
  <si>
    <t>Aster DM Healthcare (India)</t>
  </si>
  <si>
    <t>Jupiter Hospital</t>
  </si>
  <si>
    <t>HCG (target)</t>
  </si>
  <si>
    <t>Peer Mean</t>
  </si>
  <si>
    <t>Peer Median</t>
  </si>
  <si>
    <t>Peer Min</t>
  </si>
  <si>
    <t>Peer Max</t>
  </si>
  <si>
    <t>IMPLIED VALUATION FOR HCG (Target)</t>
  </si>
  <si>
    <t>Method</t>
  </si>
  <si>
    <t>Multiple</t>
  </si>
  <si>
    <t>Applied to (₹ Cr)</t>
  </si>
  <si>
    <t>Implied EV (₹ Cr)</t>
  </si>
  <si>
    <t>Implied Equity (₹ Cr)</t>
  </si>
  <si>
    <t>Peer Median FY25 EV/EBITDA</t>
  </si>
  <si>
    <t>Applied to HCG FY25 EBITDA</t>
  </si>
  <si>
    <t>Peer Median FY27E EV/EBITDA</t>
  </si>
  <si>
    <t>Applied to HCG FY27E EBITDA</t>
  </si>
  <si>
    <t>75th percentile (specialty premium)</t>
  </si>
  <si>
    <t>Premium for specialty oncology asset</t>
  </si>
  <si>
    <t>Implied Avg Valuation</t>
  </si>
  <si>
    <t>Average of three methods</t>
  </si>
  <si>
    <t>Precedent Transactions — Indian Healthcare M&amp;A</t>
  </si>
  <si>
    <t>Source: VCCircle, Mergermarket, IFR, S&amp;P CapIQ — last 36 months | All values ₹ Cr unless noted</t>
  </si>
  <si>
    <t>Date</t>
  </si>
  <si>
    <t>Acquirer</t>
  </si>
  <si>
    <t>Stake</t>
  </si>
  <si>
    <t>LTM Rev</t>
  </si>
  <si>
    <t>LTM EBITDA</t>
  </si>
  <si>
    <t>EV/EBITDA</t>
  </si>
  <si>
    <t>Apr-24</t>
  </si>
  <si>
    <t>Care Hospitals (TPG)</t>
  </si>
  <si>
    <t>Blackstone</t>
  </si>
  <si>
    <t>73%</t>
  </si>
  <si>
    <t>Mar-24</t>
  </si>
  <si>
    <t>Quality Care India</t>
  </si>
  <si>
    <t>Aster DM (India)</t>
  </si>
  <si>
    <t>100%</t>
  </si>
  <si>
    <t>Feb-24</t>
  </si>
  <si>
    <t>Sahara Hospital (Lucknow)</t>
  </si>
  <si>
    <t>Max Healthcare</t>
  </si>
  <si>
    <t>Sep-23</t>
  </si>
  <si>
    <t>Hexagon (Vijaya Diag.)</t>
  </si>
  <si>
    <t>KKR</t>
  </si>
  <si>
    <t>Increase</t>
  </si>
  <si>
    <t>Aug-23</t>
  </si>
  <si>
    <t>AMRI Hospitals</t>
  </si>
  <si>
    <t>Manipal</t>
  </si>
  <si>
    <t>84%</t>
  </si>
  <si>
    <t>Jul-23</t>
  </si>
  <si>
    <t>Asian Heart Institute</t>
  </si>
  <si>
    <t>Manipal (50%)</t>
  </si>
  <si>
    <t>50%</t>
  </si>
  <si>
    <t>Mar-23</t>
  </si>
  <si>
    <t>Medica Synergie</t>
  </si>
  <si>
    <t>Dec-22</t>
  </si>
  <si>
    <t>KIMS Hospitals (residual)</t>
  </si>
  <si>
    <t>General Atlantic exit</t>
  </si>
  <si>
    <t>Block</t>
  </si>
  <si>
    <t>Sep-22</t>
  </si>
  <si>
    <t>Healthcare Global (HCG)</t>
  </si>
  <si>
    <t>Increase to 76%</t>
  </si>
  <si>
    <t>Apr-22</t>
  </si>
  <si>
    <t>Manipal Hospitals</t>
  </si>
  <si>
    <t>Temasek</t>
  </si>
  <si>
    <t>59%</t>
  </si>
  <si>
    <t>Mean</t>
  </si>
  <si>
    <t>Median</t>
  </si>
  <si>
    <t>75th %ile</t>
  </si>
  <si>
    <t>Triangulation: HCG entry at 22.4x is consistent with specialty healthcare control premium precedents (Care 23.6x, Quality Care 23.3x, AMRI 23.0x). Lower than top-tier multi-specialty (Manipal/Temasek 30x) but premium to multi-specialty regional plays (Sahara 15.7x). The 22.4x reflects: (i) 76% control premium, (ii) scarcity of national oncology platforms, (iii) FY27E roll-forward implies 18.0x — converging to peers.</t>
  </si>
  <si>
    <t>Sensitivity Analysis — Sponsor IRR &amp; MOIC</t>
  </si>
  <si>
    <t>TABLE 1: IRR — Exit Multiple × Synergy Realization</t>
  </si>
  <si>
    <t>% of Base-Case Synergies Realized</t>
  </si>
  <si>
    <t>Exit Multiple ↓</t>
  </si>
  <si>
    <t>75%</t>
  </si>
  <si>
    <t>125%</t>
  </si>
  <si>
    <t>150%</t>
  </si>
  <si>
    <t>14.0x</t>
  </si>
  <si>
    <t>16.0x</t>
  </si>
  <si>
    <t>18.0x</t>
  </si>
  <si>
    <t>20.0x</t>
  </si>
  <si>
    <t>22.0x</t>
  </si>
  <si>
    <t>Bold cell = Base Case (18.0x exit, 100% synergy realization). Min IRR for approval gate: 18%.</t>
  </si>
  <si>
    <t>TABLE 2: MOIC — Exit Multiple × Hold Period</t>
  </si>
  <si>
    <t>Hold Period (Years)</t>
  </si>
  <si>
    <t>3 yrs</t>
  </si>
  <si>
    <t>4 yrs</t>
  </si>
  <si>
    <t>5 yrs</t>
  </si>
  <si>
    <t>6 yrs</t>
  </si>
  <si>
    <t>7 yrs</t>
  </si>
  <si>
    <t>TABLE 3: IRR — Entry Multiple × Senior Leverage</t>
  </si>
  <si>
    <t>Senior Leverage (x FY25 EBITDA)</t>
  </si>
  <si>
    <t>Entry Multiple ↓</t>
  </si>
  <si>
    <t>7.0x</t>
  </si>
  <si>
    <t>8.0x</t>
  </si>
  <si>
    <t>9.0x</t>
  </si>
  <si>
    <t>10.0x</t>
  </si>
  <si>
    <t>11.0x</t>
  </si>
  <si>
    <t>21.0x</t>
  </si>
  <si>
    <t>22.4x</t>
  </si>
  <si>
    <t>24.0x</t>
  </si>
  <si>
    <t>26.0x</t>
  </si>
  <si>
    <t>All sensitivities reflect 100% synergy realization at 5-yr hold. Combined Entry+Exit+Leverage stress (downside): 24x entry × 16x exit × 7x lev = ~13% IRR (below approval threshold). Base case is robust to ~150bps re-rating risk.</t>
  </si>
  <si>
    <t xml:space="preserve">           Project Apex — HCG (Healthcare Global) Leveraged Buyout Model</t>
  </si>
  <si>
    <t>Prepared for: Max Healthcare Office of the CEO  )  |  May 2026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</si>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</sst>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;&quot;(₹&quot;#,##0\);\-"/>
    <numFmt numFmtId="165" formatCode="0.00\x;\(0.00&quot;x)&quot;;\-"/>
    <numFmt numFmtId="166" formatCode="#,##0.0;\(#,##0.0\);\-"/>
    <numFmt numFmtId="167" formatCode="0.0%;\(0.0%\);\-"/>
    <numFmt numFmtId="168" formatCode="#,##0;\(#,##0\);\-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0000FF"/>
      <name val="Arial"/>
      <charset val="1"/>
    </font>
    <font>
      <b/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sz val="10"/>
      <name val="Arial"/>
      <family val="2"/>
    </font>
    <font>
      <sz val="9"/>
      <color rgb="FF000000"/>
      <name val="Arial"/>
      <charset val="1"/>
    </font>
    <font>
      <b/>
      <sz val="10"/>
      <color rgb="FF197A56"/>
      <name val="Arial"/>
      <charset val="1"/>
    </font>
    <font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95959"/>
        <bgColor rgb="FF333333"/>
      </patternFill>
    </fill>
    <fill>
      <patternFill patternType="solid">
        <fgColor rgb="FF29BA74"/>
        <bgColor rgb="FF33CCCC"/>
      </patternFill>
    </fill>
    <fill>
      <patternFill patternType="solid">
        <fgColor rgb="FF197A56"/>
        <bgColor rgb="FF008080"/>
      </patternFill>
    </fill>
    <fill>
      <patternFill patternType="solid">
        <fgColor rgb="FFC6EFCE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3" fillId="6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3" fillId="4" borderId="0" xfId="0" applyFont="1" applyFill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168" fontId="14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168" fontId="11" fillId="2" borderId="0" xfId="0" applyNumberFormat="1" applyFont="1" applyFill="1" applyAlignment="1">
      <alignment horizontal="right" vertical="center"/>
    </xf>
    <xf numFmtId="167" fontId="11" fillId="2" borderId="0" xfId="0" applyNumberFormat="1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8" fontId="4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8" fontId="8" fillId="3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 wrapText="1"/>
    </xf>
    <xf numFmtId="168" fontId="14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168" fontId="19" fillId="0" borderId="0" xfId="0" applyNumberFormat="1" applyFont="1" applyAlignment="1">
      <alignment horizontal="right" vertical="center"/>
    </xf>
    <xf numFmtId="0" fontId="4" fillId="9" borderId="0" xfId="0" applyFont="1" applyFill="1" applyAlignment="1">
      <alignment horizontal="left" vertical="center" wrapText="1"/>
    </xf>
    <xf numFmtId="168" fontId="4" fillId="9" borderId="0" xfId="0" applyNumberFormat="1" applyFont="1" applyFill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168" fontId="2" fillId="0" borderId="0" xfId="0" applyNumberFormat="1" applyFont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168" fontId="4" fillId="5" borderId="1" xfId="0" applyNumberFormat="1" applyFont="1" applyFill="1" applyBorder="1" applyAlignment="1">
      <alignment horizontal="right" vertical="center"/>
    </xf>
    <xf numFmtId="0" fontId="19" fillId="9" borderId="1" xfId="0" applyFont="1" applyFill="1" applyBorder="1" applyAlignment="1">
      <alignment horizontal="left" vertical="center" wrapText="1"/>
    </xf>
    <xf numFmtId="165" fontId="19" fillId="9" borderId="1" xfId="0" applyNumberFormat="1" applyFont="1" applyFill="1" applyBorder="1" applyAlignment="1">
      <alignment horizontal="right" vertical="center"/>
    </xf>
    <xf numFmtId="167" fontId="19" fillId="9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8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168" fontId="8" fillId="5" borderId="1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/>
    <xf numFmtId="167" fontId="11" fillId="2" borderId="1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8" fontId="19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5" fillId="2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97A56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9BA74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1</xdr:row>
      <xdr:rowOff>88900</xdr:rowOff>
    </xdr:from>
    <xdr:to>
      <xdr:col>1</xdr:col>
      <xdr:colOff>825501</xdr:colOff>
      <xdr:row>2</xdr:row>
      <xdr:rowOff>153645</xdr:rowOff>
    </xdr:to>
    <xdr:pic>
      <xdr:nvPicPr>
        <xdr:cNvPr id="3" name="Picture 2" descr="Max Hospital Gurgaon - Best Healthcare Facilitator in India">
          <a:extLst>
            <a:ext uri="{FF2B5EF4-FFF2-40B4-BE49-F238E27FC236}">
              <a16:creationId xmlns:a16="http://schemas.microsoft.com/office/drawing/2014/main" id="{73E95E7B-0608-E84A-73AA-F1274ADA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1" y="273050"/>
          <a:ext cx="692150" cy="388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showGridLines="0" tabSelected="1" topLeftCell="A22" zoomScaleNormal="100" workbookViewId="0">
      <selection activeCell="B41" sqref="B41"/>
    </sheetView>
  </sheetViews>
  <sheetFormatPr defaultColWidth="8.6328125" defaultRowHeight="14.5" x14ac:dyDescent="0.35"/>
  <cols>
    <col min="1" max="1" width="2" customWidth="1"/>
    <col min="2" max="8" width="16" customWidth="1"/>
  </cols>
  <sheetData>
    <row r="2" spans="2:8" ht="25.5" customHeight="1" x14ac:dyDescent="0.35">
      <c r="B2" s="14" t="s">
        <v>432</v>
      </c>
      <c r="C2" s="14"/>
      <c r="D2" s="14"/>
      <c r="E2" s="14"/>
      <c r="F2" s="14"/>
      <c r="G2" s="14"/>
      <c r="H2" s="14"/>
    </row>
    <row r="3" spans="2:8" ht="25.5" customHeight="1" x14ac:dyDescent="0.35">
      <c r="B3" s="14"/>
      <c r="C3" s="14"/>
      <c r="D3" s="14"/>
      <c r="E3" s="14"/>
      <c r="F3" s="14"/>
      <c r="G3" s="14"/>
      <c r="H3" s="14"/>
    </row>
    <row r="4" spans="2:8" ht="15" customHeight="1" x14ac:dyDescent="0.35">
      <c r="B4" s="13" t="s">
        <v>433</v>
      </c>
      <c r="C4" s="13"/>
      <c r="D4" s="13"/>
      <c r="E4" s="13"/>
      <c r="F4" s="13"/>
      <c r="G4" s="13"/>
      <c r="H4" s="13"/>
    </row>
    <row r="6" spans="2:8" ht="15" customHeight="1" x14ac:dyDescent="0.35">
      <c r="B6" s="12" t="s">
        <v>0</v>
      </c>
      <c r="C6" s="12"/>
      <c r="D6" s="12"/>
      <c r="E6" s="12"/>
      <c r="F6" s="12"/>
      <c r="G6" s="12"/>
      <c r="H6" s="12"/>
    </row>
    <row r="7" spans="2:8" ht="15" customHeight="1" x14ac:dyDescent="0.35">
      <c r="B7" s="15" t="s">
        <v>1</v>
      </c>
      <c r="C7" s="11" t="s">
        <v>2</v>
      </c>
      <c r="D7" s="11"/>
      <c r="E7" s="11"/>
      <c r="F7" s="11"/>
      <c r="G7" s="11"/>
      <c r="H7" s="11"/>
    </row>
    <row r="8" spans="2:8" ht="15" customHeight="1" x14ac:dyDescent="0.35">
      <c r="B8" s="15" t="s">
        <v>3</v>
      </c>
      <c r="C8" s="11" t="s">
        <v>4</v>
      </c>
      <c r="D8" s="11"/>
      <c r="E8" s="11"/>
      <c r="F8" s="11"/>
      <c r="G8" s="11"/>
      <c r="H8" s="11"/>
    </row>
    <row r="9" spans="2:8" ht="15" customHeight="1" x14ac:dyDescent="0.35">
      <c r="B9" s="15" t="s">
        <v>5</v>
      </c>
      <c r="C9" s="11" t="s">
        <v>6</v>
      </c>
      <c r="D9" s="11"/>
      <c r="E9" s="11"/>
      <c r="F9" s="11"/>
      <c r="G9" s="11"/>
      <c r="H9" s="11"/>
    </row>
    <row r="10" spans="2:8" ht="15" customHeight="1" x14ac:dyDescent="0.35">
      <c r="B10" s="15" t="s">
        <v>7</v>
      </c>
      <c r="C10" s="11" t="s">
        <v>8</v>
      </c>
      <c r="D10" s="11"/>
      <c r="E10" s="11"/>
      <c r="F10" s="11"/>
      <c r="G10" s="11"/>
      <c r="H10" s="11"/>
    </row>
    <row r="11" spans="2:8" ht="15" customHeight="1" x14ac:dyDescent="0.35">
      <c r="B11" s="15" t="s">
        <v>9</v>
      </c>
      <c r="C11" s="11" t="s">
        <v>10</v>
      </c>
      <c r="D11" s="11"/>
      <c r="E11" s="11"/>
      <c r="F11" s="11"/>
      <c r="G11" s="11"/>
      <c r="H11" s="11"/>
    </row>
    <row r="12" spans="2:8" ht="15" customHeight="1" x14ac:dyDescent="0.35">
      <c r="B12" s="15" t="s">
        <v>11</v>
      </c>
      <c r="C12" s="11" t="s">
        <v>12</v>
      </c>
      <c r="D12" s="11"/>
      <c r="E12" s="11"/>
      <c r="F12" s="11"/>
      <c r="G12" s="11"/>
      <c r="H12" s="11"/>
    </row>
    <row r="13" spans="2:8" ht="15" customHeight="1" x14ac:dyDescent="0.35">
      <c r="B13" s="15" t="s">
        <v>13</v>
      </c>
      <c r="C13" s="11" t="s">
        <v>14</v>
      </c>
      <c r="D13" s="11"/>
      <c r="E13" s="11"/>
      <c r="F13" s="11"/>
      <c r="G13" s="11"/>
      <c r="H13" s="11"/>
    </row>
    <row r="14" spans="2:8" ht="15" customHeight="1" x14ac:dyDescent="0.35">
      <c r="B14" s="15" t="s">
        <v>15</v>
      </c>
      <c r="C14" s="11" t="s">
        <v>16</v>
      </c>
      <c r="D14" s="11"/>
      <c r="E14" s="11"/>
      <c r="F14" s="11"/>
      <c r="G14" s="11"/>
      <c r="H14" s="11"/>
    </row>
    <row r="15" spans="2:8" ht="15" customHeight="1" x14ac:dyDescent="0.35">
      <c r="B15" s="15" t="s">
        <v>17</v>
      </c>
      <c r="C15" s="11" t="s">
        <v>18</v>
      </c>
      <c r="D15" s="11"/>
      <c r="E15" s="11"/>
      <c r="F15" s="11"/>
      <c r="G15" s="11"/>
      <c r="H15" s="11"/>
    </row>
    <row r="16" spans="2:8" ht="15" customHeight="1" x14ac:dyDescent="0.35">
      <c r="B16" s="15" t="s">
        <v>19</v>
      </c>
      <c r="C16" s="11" t="s">
        <v>20</v>
      </c>
      <c r="D16" s="11"/>
      <c r="E16" s="11"/>
      <c r="F16" s="11"/>
      <c r="G16" s="11"/>
      <c r="H16" s="11"/>
    </row>
    <row r="18" spans="2:8" ht="15" customHeight="1" x14ac:dyDescent="0.35">
      <c r="B18" s="12" t="s">
        <v>21</v>
      </c>
      <c r="C18" s="12"/>
      <c r="D18" s="12"/>
      <c r="E18" s="12"/>
      <c r="F18" s="12"/>
      <c r="G18" s="12"/>
      <c r="H18" s="12"/>
    </row>
    <row r="19" spans="2:8" ht="15" customHeight="1" x14ac:dyDescent="0.35">
      <c r="B19" s="17" t="s">
        <v>22</v>
      </c>
      <c r="C19" s="11" t="s">
        <v>23</v>
      </c>
      <c r="D19" s="11"/>
      <c r="E19" s="11"/>
      <c r="F19" s="11"/>
      <c r="G19" s="11"/>
      <c r="H19" s="11"/>
    </row>
    <row r="20" spans="2:8" ht="15" customHeight="1" x14ac:dyDescent="0.35">
      <c r="B20" s="17" t="s">
        <v>24</v>
      </c>
      <c r="C20" s="11" t="s">
        <v>25</v>
      </c>
      <c r="D20" s="11"/>
      <c r="E20" s="11"/>
      <c r="F20" s="11"/>
      <c r="G20" s="11"/>
      <c r="H20" s="11"/>
    </row>
    <row r="21" spans="2:8" ht="23.25" customHeight="1" x14ac:dyDescent="0.35">
      <c r="B21" s="17" t="s">
        <v>26</v>
      </c>
      <c r="C21" s="11" t="s">
        <v>27</v>
      </c>
      <c r="D21" s="11"/>
      <c r="E21" s="11"/>
      <c r="F21" s="11"/>
      <c r="G21" s="11"/>
      <c r="H21" s="11"/>
    </row>
    <row r="22" spans="2:8" ht="23.25" customHeight="1" x14ac:dyDescent="0.35">
      <c r="B22" s="17" t="s">
        <v>28</v>
      </c>
      <c r="C22" s="11" t="s">
        <v>29</v>
      </c>
      <c r="D22" s="11"/>
      <c r="E22" s="11"/>
      <c r="F22" s="11"/>
      <c r="G22" s="11"/>
      <c r="H22" s="11"/>
    </row>
    <row r="23" spans="2:8" ht="15" customHeight="1" x14ac:dyDescent="0.35">
      <c r="B23" s="17" t="s">
        <v>30</v>
      </c>
      <c r="C23" s="11" t="s">
        <v>31</v>
      </c>
      <c r="D23" s="11"/>
      <c r="E23" s="11"/>
      <c r="F23" s="11"/>
      <c r="G23" s="11"/>
      <c r="H23" s="11"/>
    </row>
    <row r="24" spans="2:8" ht="15" customHeight="1" x14ac:dyDescent="0.35">
      <c r="B24" s="17" t="s">
        <v>32</v>
      </c>
      <c r="C24" s="11" t="s">
        <v>33</v>
      </c>
      <c r="D24" s="11"/>
      <c r="E24" s="11"/>
      <c r="F24" s="11"/>
      <c r="G24" s="11"/>
      <c r="H24" s="11"/>
    </row>
    <row r="25" spans="2:8" ht="15" customHeight="1" x14ac:dyDescent="0.35">
      <c r="B25" s="17" t="s">
        <v>34</v>
      </c>
      <c r="C25" s="11" t="s">
        <v>35</v>
      </c>
      <c r="D25" s="11"/>
      <c r="E25" s="11"/>
      <c r="F25" s="11"/>
      <c r="G25" s="11"/>
      <c r="H25" s="11"/>
    </row>
    <row r="26" spans="2:8" ht="15" customHeight="1" x14ac:dyDescent="0.35">
      <c r="B26" s="17" t="s">
        <v>36</v>
      </c>
      <c r="C26" s="11" t="s">
        <v>37</v>
      </c>
      <c r="D26" s="11"/>
      <c r="E26" s="11"/>
      <c r="F26" s="11"/>
      <c r="G26" s="11"/>
      <c r="H26" s="11"/>
    </row>
    <row r="27" spans="2:8" ht="15" customHeight="1" x14ac:dyDescent="0.35">
      <c r="B27" s="17" t="s">
        <v>38</v>
      </c>
      <c r="C27" s="11" t="s">
        <v>39</v>
      </c>
      <c r="D27" s="11"/>
      <c r="E27" s="11"/>
      <c r="F27" s="11"/>
      <c r="G27" s="11"/>
      <c r="H27" s="11"/>
    </row>
    <row r="30" spans="2:8" ht="15" customHeight="1" x14ac:dyDescent="0.35">
      <c r="B30" s="12" t="s">
        <v>40</v>
      </c>
      <c r="C30" s="12"/>
      <c r="D30" s="12"/>
      <c r="E30" s="12"/>
      <c r="F30" s="12"/>
      <c r="G30" s="12"/>
      <c r="H30" s="12"/>
    </row>
    <row r="31" spans="2:8" ht="15" customHeight="1" x14ac:dyDescent="0.35">
      <c r="B31" s="18" t="s">
        <v>41</v>
      </c>
      <c r="C31" s="11" t="s">
        <v>42</v>
      </c>
      <c r="D31" s="11"/>
      <c r="E31" s="11"/>
      <c r="F31" s="11"/>
      <c r="G31" s="11"/>
      <c r="H31" s="11"/>
    </row>
    <row r="32" spans="2:8" ht="15" customHeight="1" x14ac:dyDescent="0.35">
      <c r="B32" s="15" t="s">
        <v>43</v>
      </c>
      <c r="C32" s="11" t="s">
        <v>44</v>
      </c>
      <c r="D32" s="11"/>
      <c r="E32" s="11"/>
      <c r="F32" s="11"/>
      <c r="G32" s="11"/>
      <c r="H32" s="11"/>
    </row>
    <row r="33" spans="2:8" ht="15" customHeight="1" x14ac:dyDescent="0.35">
      <c r="B33" s="19" t="s">
        <v>45</v>
      </c>
      <c r="C33" s="11" t="s">
        <v>46</v>
      </c>
      <c r="D33" s="11"/>
      <c r="E33" s="11"/>
      <c r="F33" s="11"/>
      <c r="G33" s="11"/>
      <c r="H33" s="11"/>
    </row>
    <row r="34" spans="2:8" ht="15" customHeight="1" x14ac:dyDescent="0.35">
      <c r="B34" s="20" t="s">
        <v>47</v>
      </c>
      <c r="C34" s="11" t="s">
        <v>48</v>
      </c>
      <c r="D34" s="11"/>
      <c r="E34" s="11"/>
      <c r="F34" s="11"/>
      <c r="G34" s="11"/>
      <c r="H34" s="11"/>
    </row>
    <row r="35" spans="2:8" ht="15" customHeight="1" x14ac:dyDescent="0.35">
      <c r="B35" s="15" t="s">
        <v>49</v>
      </c>
      <c r="C35" s="11" t="s">
        <v>50</v>
      </c>
      <c r="D35" s="11"/>
      <c r="E35" s="11"/>
      <c r="F35" s="11"/>
      <c r="G35" s="11"/>
      <c r="H35" s="11"/>
    </row>
    <row r="36" spans="2:8" ht="15" customHeight="1" x14ac:dyDescent="0.35">
      <c r="B36" s="15" t="s">
        <v>51</v>
      </c>
      <c r="C36" s="11" t="s">
        <v>52</v>
      </c>
      <c r="D36" s="11"/>
      <c r="E36" s="11"/>
      <c r="F36" s="11"/>
      <c r="G36" s="11"/>
      <c r="H36" s="11"/>
    </row>
    <row r="37" spans="2:8" ht="15" customHeight="1" x14ac:dyDescent="0.35">
      <c r="B37" s="15" t="s">
        <v>53</v>
      </c>
      <c r="C37" s="11" t="s">
        <v>54</v>
      </c>
      <c r="D37" s="11"/>
      <c r="E37" s="11"/>
      <c r="F37" s="11"/>
      <c r="G37" s="11"/>
      <c r="H37" s="11"/>
    </row>
  </sheetData>
  <mergeCells count="31">
    <mergeCell ref="C37:H37"/>
    <mergeCell ref="C32:H32"/>
    <mergeCell ref="C33:H33"/>
    <mergeCell ref="C34:H34"/>
    <mergeCell ref="C35:H35"/>
    <mergeCell ref="C36:H36"/>
    <mergeCell ref="C25:H25"/>
    <mergeCell ref="C26:H26"/>
    <mergeCell ref="C27:H27"/>
    <mergeCell ref="B30:H30"/>
    <mergeCell ref="C31:H31"/>
    <mergeCell ref="C20:H20"/>
    <mergeCell ref="C21:H21"/>
    <mergeCell ref="C22:H22"/>
    <mergeCell ref="C23:H23"/>
    <mergeCell ref="C24:H24"/>
    <mergeCell ref="C14:H14"/>
    <mergeCell ref="C15:H15"/>
    <mergeCell ref="C16:H16"/>
    <mergeCell ref="B18:H18"/>
    <mergeCell ref="C19:H19"/>
    <mergeCell ref="C9:H9"/>
    <mergeCell ref="C10:H10"/>
    <mergeCell ref="C11:H11"/>
    <mergeCell ref="C12:H12"/>
    <mergeCell ref="C13:H13"/>
    <mergeCell ref="B2:H3"/>
    <mergeCell ref="B4:H4"/>
    <mergeCell ref="B6:H6"/>
    <mergeCell ref="C7:H7"/>
    <mergeCell ref="C8:H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66"/>
  <sheetViews>
    <sheetView showGridLines="0" topLeftCell="A66" zoomScaleNormal="100" workbookViewId="0">
      <selection activeCell="B66" sqref="B66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2" customWidth="1"/>
    <col min="4" max="4" width="14" customWidth="1"/>
    <col min="5" max="5" width="60" customWidth="1"/>
  </cols>
  <sheetData>
    <row r="2" spans="1:5" ht="24" customHeight="1" x14ac:dyDescent="0.35">
      <c r="B2" s="9" t="s">
        <v>55</v>
      </c>
      <c r="C2" s="9"/>
      <c r="D2" s="9"/>
      <c r="E2" s="9"/>
    </row>
    <row r="4" spans="1:5" ht="21.75" customHeight="1" x14ac:dyDescent="0.35">
      <c r="B4" s="21" t="s">
        <v>56</v>
      </c>
      <c r="C4" s="21" t="s">
        <v>57</v>
      </c>
      <c r="D4" s="21" t="s">
        <v>58</v>
      </c>
      <c r="E4" s="21" t="s">
        <v>59</v>
      </c>
    </row>
    <row r="5" spans="1:5" ht="15" customHeight="1" x14ac:dyDescent="0.35">
      <c r="A5" t="s">
        <v>434</v>
      </c>
      <c r="B5" s="8" t="s">
        <v>60</v>
      </c>
      <c r="C5" s="8"/>
      <c r="D5" s="8"/>
      <c r="E5" s="8"/>
    </row>
    <row r="6" spans="1:5" ht="18" customHeight="1" x14ac:dyDescent="0.35">
      <c r="B6" s="22" t="s">
        <v>61</v>
      </c>
      <c r="C6" s="23">
        <v>8500</v>
      </c>
      <c r="D6" s="24" t="s">
        <v>62</v>
      </c>
      <c r="E6" s="25" t="s">
        <v>63</v>
      </c>
    </row>
    <row r="7" spans="1:5" ht="18" customHeight="1" x14ac:dyDescent="0.35">
      <c r="B7" s="22" t="s">
        <v>64</v>
      </c>
      <c r="C7" s="26">
        <v>22.4</v>
      </c>
      <c r="D7" s="24" t="s">
        <v>65</v>
      </c>
      <c r="E7" s="25" t="s">
        <v>66</v>
      </c>
    </row>
    <row r="8" spans="1:5" ht="18" customHeight="1" x14ac:dyDescent="0.35">
      <c r="B8" s="22" t="s">
        <v>67</v>
      </c>
      <c r="C8" s="27">
        <v>83.5</v>
      </c>
      <c r="D8" s="24" t="s">
        <v>68</v>
      </c>
      <c r="E8" s="25" t="s">
        <v>69</v>
      </c>
    </row>
    <row r="9" spans="1:5" ht="18" customHeight="1" x14ac:dyDescent="0.35">
      <c r="B9" s="22" t="s">
        <v>70</v>
      </c>
      <c r="C9" s="28">
        <v>2.1999999999999999E-2</v>
      </c>
      <c r="D9" s="24" t="s">
        <v>71</v>
      </c>
      <c r="E9" s="25" t="s">
        <v>72</v>
      </c>
    </row>
    <row r="10" spans="1:5" ht="18" customHeight="1" x14ac:dyDescent="0.35">
      <c r="B10" s="22" t="s">
        <v>73</v>
      </c>
      <c r="C10" s="23">
        <v>200</v>
      </c>
      <c r="D10" s="24" t="s">
        <v>62</v>
      </c>
      <c r="E10" s="25" t="s">
        <v>74</v>
      </c>
    </row>
    <row r="12" spans="1:5" ht="15" customHeight="1" x14ac:dyDescent="0.35">
      <c r="A12" t="s">
        <v>434</v>
      </c>
      <c r="B12" s="8" t="s">
        <v>75</v>
      </c>
      <c r="C12" s="8"/>
      <c r="D12" s="8"/>
      <c r="E12" s="8"/>
    </row>
    <row r="13" spans="1:5" ht="18" customHeight="1" x14ac:dyDescent="0.35">
      <c r="B13" s="22" t="s">
        <v>76</v>
      </c>
      <c r="C13" s="23">
        <v>3400</v>
      </c>
      <c r="D13" s="24" t="s">
        <v>62</v>
      </c>
      <c r="E13" s="25" t="s">
        <v>77</v>
      </c>
    </row>
    <row r="14" spans="1:5" ht="18" customHeight="1" x14ac:dyDescent="0.35">
      <c r="B14" s="22" t="s">
        <v>78</v>
      </c>
      <c r="C14" s="29">
        <v>5</v>
      </c>
      <c r="D14" s="24" t="s">
        <v>79</v>
      </c>
      <c r="E14" s="25" t="s">
        <v>80</v>
      </c>
    </row>
    <row r="15" spans="1:5" ht="18" customHeight="1" x14ac:dyDescent="0.35">
      <c r="B15" s="22" t="s">
        <v>81</v>
      </c>
      <c r="C15" s="28">
        <v>0.11</v>
      </c>
      <c r="D15" s="24" t="s">
        <v>71</v>
      </c>
      <c r="E15" s="25" t="s">
        <v>82</v>
      </c>
    </row>
    <row r="16" spans="1:5" ht="18" customHeight="1" x14ac:dyDescent="0.35">
      <c r="B16" s="22" t="s">
        <v>83</v>
      </c>
      <c r="C16" s="28">
        <v>0.01</v>
      </c>
      <c r="D16" s="24" t="s">
        <v>84</v>
      </c>
      <c r="E16" s="25" t="s">
        <v>85</v>
      </c>
    </row>
    <row r="17" spans="1:5" ht="18" customHeight="1" x14ac:dyDescent="0.35">
      <c r="B17" s="22" t="s">
        <v>86</v>
      </c>
      <c r="C17" s="23">
        <v>850</v>
      </c>
      <c r="D17" s="24" t="s">
        <v>62</v>
      </c>
      <c r="E17" s="25" t="s">
        <v>87</v>
      </c>
    </row>
    <row r="18" spans="1:5" ht="18" customHeight="1" x14ac:dyDescent="0.35">
      <c r="B18" s="22" t="s">
        <v>88</v>
      </c>
      <c r="C18" s="28">
        <v>0.14499999999999999</v>
      </c>
      <c r="D18" s="24" t="s">
        <v>71</v>
      </c>
      <c r="E18" s="25" t="s">
        <v>89</v>
      </c>
    </row>
    <row r="19" spans="1:5" ht="18" customHeight="1" x14ac:dyDescent="0.35">
      <c r="B19" s="22" t="s">
        <v>90</v>
      </c>
      <c r="C19" s="23">
        <v>3825</v>
      </c>
      <c r="D19" s="24" t="s">
        <v>62</v>
      </c>
      <c r="E19" s="25" t="s">
        <v>91</v>
      </c>
    </row>
    <row r="20" spans="1:5" ht="18" customHeight="1" x14ac:dyDescent="0.35">
      <c r="B20" s="22" t="s">
        <v>92</v>
      </c>
      <c r="C20" s="23">
        <v>425</v>
      </c>
      <c r="D20" s="24" t="s">
        <v>62</v>
      </c>
      <c r="E20" s="25" t="s">
        <v>93</v>
      </c>
    </row>
    <row r="21" spans="1:5" ht="18" customHeight="1" x14ac:dyDescent="0.35">
      <c r="B21" s="22" t="s">
        <v>94</v>
      </c>
      <c r="C21" s="28">
        <v>0.75</v>
      </c>
      <c r="D21" s="24" t="s">
        <v>71</v>
      </c>
      <c r="E21" s="25" t="s">
        <v>95</v>
      </c>
    </row>
    <row r="22" spans="1:5" ht="18" customHeight="1" x14ac:dyDescent="0.35">
      <c r="B22" s="22" t="s">
        <v>96</v>
      </c>
      <c r="C22" s="23">
        <v>150</v>
      </c>
      <c r="D22" s="24" t="s">
        <v>62</v>
      </c>
      <c r="E22" s="25" t="s">
        <v>97</v>
      </c>
    </row>
    <row r="24" spans="1:5" ht="15" customHeight="1" x14ac:dyDescent="0.35">
      <c r="A24" t="s">
        <v>434</v>
      </c>
      <c r="B24" s="8" t="s">
        <v>98</v>
      </c>
      <c r="C24" s="8"/>
      <c r="D24" s="8"/>
      <c r="E24" s="8"/>
    </row>
    <row r="25" spans="1:5" ht="18" customHeight="1" x14ac:dyDescent="0.35">
      <c r="B25" s="22" t="s">
        <v>99</v>
      </c>
      <c r="C25" s="23">
        <v>2100</v>
      </c>
      <c r="D25" s="24" t="s">
        <v>62</v>
      </c>
      <c r="E25" s="25" t="s">
        <v>100</v>
      </c>
    </row>
    <row r="26" spans="1:5" ht="18" customHeight="1" x14ac:dyDescent="0.35">
      <c r="B26" s="22" t="s">
        <v>101</v>
      </c>
      <c r="C26" s="28">
        <v>0.13</v>
      </c>
      <c r="D26" s="24" t="s">
        <v>71</v>
      </c>
      <c r="E26" s="25" t="s">
        <v>102</v>
      </c>
    </row>
    <row r="27" spans="1:5" ht="18" customHeight="1" x14ac:dyDescent="0.35">
      <c r="B27" s="22" t="s">
        <v>103</v>
      </c>
      <c r="C27" s="28">
        <v>0.13</v>
      </c>
      <c r="D27" s="24" t="s">
        <v>71</v>
      </c>
      <c r="E27" s="25" t="s">
        <v>104</v>
      </c>
    </row>
    <row r="28" spans="1:5" ht="18" customHeight="1" x14ac:dyDescent="0.35">
      <c r="B28" s="22" t="s">
        <v>105</v>
      </c>
      <c r="C28" s="28">
        <v>0.12</v>
      </c>
      <c r="D28" s="24" t="s">
        <v>71</v>
      </c>
      <c r="E28" s="25" t="s">
        <v>106</v>
      </c>
    </row>
    <row r="29" spans="1:5" ht="18" customHeight="1" x14ac:dyDescent="0.35">
      <c r="B29" s="22" t="s">
        <v>107</v>
      </c>
      <c r="C29" s="28">
        <v>0.11</v>
      </c>
      <c r="D29" s="24" t="s">
        <v>71</v>
      </c>
      <c r="E29" s="25" t="s">
        <v>108</v>
      </c>
    </row>
    <row r="30" spans="1:5" ht="18" customHeight="1" x14ac:dyDescent="0.35">
      <c r="B30" s="22" t="s">
        <v>109</v>
      </c>
      <c r="C30" s="28">
        <v>0.1</v>
      </c>
      <c r="D30" s="24" t="s">
        <v>71</v>
      </c>
      <c r="E30" s="25" t="s">
        <v>110</v>
      </c>
    </row>
    <row r="31" spans="1:5" ht="18" customHeight="1" x14ac:dyDescent="0.35">
      <c r="B31" s="22" t="s">
        <v>111</v>
      </c>
      <c r="C31" s="28">
        <v>0.09</v>
      </c>
      <c r="D31" s="24" t="s">
        <v>71</v>
      </c>
      <c r="E31" s="25" t="s">
        <v>112</v>
      </c>
    </row>
    <row r="33" spans="1:5" ht="15" customHeight="1" x14ac:dyDescent="0.35">
      <c r="A33" t="s">
        <v>434</v>
      </c>
      <c r="B33" s="8" t="s">
        <v>113</v>
      </c>
      <c r="C33" s="8"/>
      <c r="D33" s="8"/>
      <c r="E33" s="8"/>
    </row>
    <row r="34" spans="1:5" ht="18" customHeight="1" x14ac:dyDescent="0.35">
      <c r="B34" s="22" t="s">
        <v>114</v>
      </c>
      <c r="C34" s="28">
        <v>0.18</v>
      </c>
      <c r="D34" s="24" t="s">
        <v>71</v>
      </c>
      <c r="E34" s="25" t="s">
        <v>115</v>
      </c>
    </row>
    <row r="35" spans="1:5" ht="18" customHeight="1" x14ac:dyDescent="0.35">
      <c r="B35" s="22" t="s">
        <v>116</v>
      </c>
      <c r="C35" s="28">
        <v>0.183</v>
      </c>
      <c r="D35" s="24" t="s">
        <v>71</v>
      </c>
      <c r="E35" s="25" t="s">
        <v>117</v>
      </c>
    </row>
    <row r="36" spans="1:5" ht="18" customHeight="1" x14ac:dyDescent="0.35">
      <c r="B36" s="22" t="s">
        <v>118</v>
      </c>
      <c r="C36" s="28">
        <v>0.187</v>
      </c>
      <c r="D36" s="24" t="s">
        <v>71</v>
      </c>
      <c r="E36" s="25" t="s">
        <v>119</v>
      </c>
    </row>
    <row r="37" spans="1:5" ht="18" customHeight="1" x14ac:dyDescent="0.35">
      <c r="B37" s="22" t="s">
        <v>120</v>
      </c>
      <c r="C37" s="28">
        <v>0.193</v>
      </c>
      <c r="D37" s="24" t="s">
        <v>71</v>
      </c>
      <c r="E37" s="25" t="s">
        <v>121</v>
      </c>
    </row>
    <row r="38" spans="1:5" ht="18" customHeight="1" x14ac:dyDescent="0.35">
      <c r="B38" s="22" t="s">
        <v>122</v>
      </c>
      <c r="C38" s="28">
        <v>0.19800000000000001</v>
      </c>
      <c r="D38" s="24" t="s">
        <v>71</v>
      </c>
      <c r="E38" s="25" t="s">
        <v>123</v>
      </c>
    </row>
    <row r="39" spans="1:5" ht="18" customHeight="1" x14ac:dyDescent="0.35">
      <c r="B39" s="22" t="s">
        <v>124</v>
      </c>
      <c r="C39" s="28">
        <v>0.20200000000000001</v>
      </c>
      <c r="D39" s="24" t="s">
        <v>71</v>
      </c>
      <c r="E39" s="25" t="s">
        <v>125</v>
      </c>
    </row>
    <row r="40" spans="1:5" ht="18" customHeight="1" x14ac:dyDescent="0.35">
      <c r="B40" s="22" t="s">
        <v>126</v>
      </c>
      <c r="C40" s="28">
        <v>0.20499999999999999</v>
      </c>
      <c r="D40" s="24" t="s">
        <v>71</v>
      </c>
      <c r="E40" s="25" t="s">
        <v>127</v>
      </c>
    </row>
    <row r="42" spans="1:5" ht="15" customHeight="1" x14ac:dyDescent="0.35">
      <c r="A42" t="s">
        <v>434</v>
      </c>
      <c r="B42" s="8" t="s">
        <v>128</v>
      </c>
      <c r="C42" s="8"/>
      <c r="D42" s="8"/>
      <c r="E42" s="8"/>
    </row>
    <row r="43" spans="1:5" ht="18" customHeight="1" x14ac:dyDescent="0.35">
      <c r="B43" s="22" t="s">
        <v>129</v>
      </c>
      <c r="C43" s="28">
        <v>7.4999999999999997E-2</v>
      </c>
      <c r="D43" s="24" t="s">
        <v>71</v>
      </c>
      <c r="E43" s="25" t="s">
        <v>130</v>
      </c>
    </row>
    <row r="44" spans="1:5" ht="18" customHeight="1" x14ac:dyDescent="0.35">
      <c r="B44" s="22" t="s">
        <v>131</v>
      </c>
      <c r="C44" s="28">
        <v>0.04</v>
      </c>
      <c r="D44" s="24" t="s">
        <v>71</v>
      </c>
      <c r="E44" s="25" t="s">
        <v>132</v>
      </c>
    </row>
    <row r="45" spans="1:5" ht="18" customHeight="1" x14ac:dyDescent="0.35">
      <c r="B45" s="22" t="s">
        <v>133</v>
      </c>
      <c r="C45" s="23">
        <v>250</v>
      </c>
      <c r="D45" s="24" t="s">
        <v>62</v>
      </c>
      <c r="E45" s="25" t="s">
        <v>134</v>
      </c>
    </row>
    <row r="46" spans="1:5" ht="18" customHeight="1" x14ac:dyDescent="0.35">
      <c r="B46" s="22" t="s">
        <v>135</v>
      </c>
      <c r="C46" s="23">
        <v>200</v>
      </c>
      <c r="D46" s="24" t="s">
        <v>62</v>
      </c>
      <c r="E46" s="25" t="s">
        <v>136</v>
      </c>
    </row>
    <row r="47" spans="1:5" ht="18" customHeight="1" x14ac:dyDescent="0.35">
      <c r="B47" s="22" t="s">
        <v>137</v>
      </c>
      <c r="C47" s="23">
        <v>150</v>
      </c>
      <c r="D47" s="24" t="s">
        <v>62</v>
      </c>
      <c r="E47" s="25" t="s">
        <v>138</v>
      </c>
    </row>
    <row r="48" spans="1:5" ht="18" customHeight="1" x14ac:dyDescent="0.35">
      <c r="B48" s="22" t="s">
        <v>139</v>
      </c>
      <c r="C48" s="23">
        <v>100</v>
      </c>
      <c r="D48" s="24" t="s">
        <v>140</v>
      </c>
      <c r="E48" s="25" t="s">
        <v>141</v>
      </c>
    </row>
    <row r="49" spans="1:5" ht="18" customHeight="1" x14ac:dyDescent="0.35">
      <c r="B49" s="22" t="s">
        <v>142</v>
      </c>
      <c r="C49" s="28">
        <v>0.252</v>
      </c>
      <c r="D49" s="24" t="s">
        <v>71</v>
      </c>
      <c r="E49" s="25" t="s">
        <v>143</v>
      </c>
    </row>
    <row r="50" spans="1:5" ht="18" customHeight="1" x14ac:dyDescent="0.35">
      <c r="B50" s="22" t="s">
        <v>144</v>
      </c>
      <c r="C50" s="28">
        <v>0.08</v>
      </c>
      <c r="D50" s="24" t="s">
        <v>71</v>
      </c>
      <c r="E50" s="25" t="s">
        <v>145</v>
      </c>
    </row>
    <row r="52" spans="1:5" ht="15" customHeight="1" x14ac:dyDescent="0.35">
      <c r="A52" t="s">
        <v>434</v>
      </c>
      <c r="B52" s="8" t="s">
        <v>146</v>
      </c>
      <c r="C52" s="8"/>
      <c r="D52" s="8"/>
      <c r="E52" s="8"/>
    </row>
    <row r="53" spans="1:5" ht="18" customHeight="1" x14ac:dyDescent="0.35">
      <c r="B53" s="22" t="s">
        <v>147</v>
      </c>
      <c r="C53" s="23">
        <v>180</v>
      </c>
      <c r="D53" s="24" t="s">
        <v>62</v>
      </c>
      <c r="E53" s="25" t="s">
        <v>148</v>
      </c>
    </row>
    <row r="54" spans="1:5" ht="18" customHeight="1" x14ac:dyDescent="0.35">
      <c r="B54" s="22" t="s">
        <v>149</v>
      </c>
      <c r="C54" s="23">
        <v>100</v>
      </c>
      <c r="D54" s="24" t="s">
        <v>62</v>
      </c>
      <c r="E54" s="25" t="s">
        <v>150</v>
      </c>
    </row>
    <row r="55" spans="1:5" ht="18" customHeight="1" x14ac:dyDescent="0.35">
      <c r="B55" s="22" t="s">
        <v>151</v>
      </c>
      <c r="C55" s="28">
        <v>0.2</v>
      </c>
      <c r="D55" s="24" t="s">
        <v>71</v>
      </c>
      <c r="E55" s="25" t="s">
        <v>152</v>
      </c>
    </row>
    <row r="56" spans="1:5" ht="18" customHeight="1" x14ac:dyDescent="0.35">
      <c r="B56" s="22" t="s">
        <v>153</v>
      </c>
      <c r="C56" s="28">
        <v>0.55000000000000004</v>
      </c>
      <c r="D56" s="24" t="s">
        <v>71</v>
      </c>
      <c r="E56" s="25" t="s">
        <v>154</v>
      </c>
    </row>
    <row r="57" spans="1:5" ht="18" customHeight="1" x14ac:dyDescent="0.35">
      <c r="B57" s="22" t="s">
        <v>155</v>
      </c>
      <c r="C57" s="28">
        <v>1</v>
      </c>
      <c r="D57" s="24" t="s">
        <v>71</v>
      </c>
      <c r="E57" s="25" t="s">
        <v>156</v>
      </c>
    </row>
    <row r="58" spans="1:5" ht="18" customHeight="1" x14ac:dyDescent="0.35">
      <c r="B58" s="22" t="s">
        <v>157</v>
      </c>
      <c r="C58" s="28">
        <v>1.1000000000000001</v>
      </c>
      <c r="D58" s="24" t="s">
        <v>71</v>
      </c>
      <c r="E58" s="25" t="s">
        <v>158</v>
      </c>
    </row>
    <row r="59" spans="1:5" ht="18" customHeight="1" x14ac:dyDescent="0.35">
      <c r="B59" s="22" t="s">
        <v>159</v>
      </c>
      <c r="C59" s="28">
        <v>1.1499999999999999</v>
      </c>
      <c r="D59" s="24" t="s">
        <v>71</v>
      </c>
      <c r="E59" s="25" t="s">
        <v>160</v>
      </c>
    </row>
    <row r="60" spans="1:5" ht="18" customHeight="1" x14ac:dyDescent="0.35">
      <c r="B60" s="22" t="s">
        <v>161</v>
      </c>
      <c r="C60" s="23">
        <v>200</v>
      </c>
      <c r="D60" s="24" t="s">
        <v>62</v>
      </c>
      <c r="E60" s="25" t="s">
        <v>162</v>
      </c>
    </row>
    <row r="62" spans="1:5" ht="15" customHeight="1" x14ac:dyDescent="0.35">
      <c r="A62" t="s">
        <v>434</v>
      </c>
      <c r="B62" s="8" t="s">
        <v>163</v>
      </c>
      <c r="C62" s="8"/>
      <c r="D62" s="8"/>
      <c r="E62" s="8"/>
    </row>
    <row r="63" spans="1:5" ht="18" customHeight="1" x14ac:dyDescent="0.35">
      <c r="B63" s="22" t="s">
        <v>164</v>
      </c>
      <c r="C63" s="26">
        <v>18</v>
      </c>
      <c r="D63" s="24" t="s">
        <v>65</v>
      </c>
      <c r="E63" s="25" t="s">
        <v>165</v>
      </c>
    </row>
    <row r="64" spans="1:5" ht="18" customHeight="1" x14ac:dyDescent="0.35">
      <c r="B64" s="22" t="s">
        <v>166</v>
      </c>
      <c r="C64" s="26">
        <v>15</v>
      </c>
      <c r="D64" s="24" t="s">
        <v>65</v>
      </c>
      <c r="E64" s="25" t="s">
        <v>167</v>
      </c>
    </row>
    <row r="65" spans="2:5" ht="18" customHeight="1" x14ac:dyDescent="0.35">
      <c r="B65" s="22" t="s">
        <v>168</v>
      </c>
      <c r="C65" s="26">
        <v>22</v>
      </c>
      <c r="D65" s="24" t="s">
        <v>65</v>
      </c>
      <c r="E65" s="25" t="s">
        <v>169</v>
      </c>
    </row>
    <row r="66" spans="2:5" ht="18" customHeight="1" x14ac:dyDescent="0.35">
      <c r="B66" s="22" t="s">
        <v>170</v>
      </c>
      <c r="C66" s="29">
        <v>5</v>
      </c>
      <c r="D66" s="24" t="s">
        <v>171</v>
      </c>
      <c r="E66" s="25" t="s">
        <v>172</v>
      </c>
    </row>
  </sheetData>
  <mergeCells count="8">
    <mergeCell ref="B42:E42"/>
    <mergeCell ref="B52:E52"/>
    <mergeCell ref="B62:E62"/>
    <mergeCell ref="B2:E2"/>
    <mergeCell ref="B5:E5"/>
    <mergeCell ref="B12:E12"/>
    <mergeCell ref="B24:E24"/>
    <mergeCell ref="B33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2"/>
  <sheetViews>
    <sheetView showGridLines="0" zoomScaleNormal="100" workbookViewId="0">
      <selection activeCell="A17" sqref="A17"/>
    </sheetView>
  </sheetViews>
  <sheetFormatPr defaultColWidth="8.6328125" defaultRowHeight="14.5" x14ac:dyDescent="0.35"/>
  <cols>
    <col min="1" max="1" width="2" customWidth="1"/>
    <col min="2" max="2" width="32" customWidth="1"/>
    <col min="3" max="5" width="14" customWidth="1"/>
    <col min="6" max="6" width="4" customWidth="1"/>
    <col min="7" max="7" width="32" customWidth="1"/>
    <col min="8" max="10" width="14" customWidth="1"/>
  </cols>
  <sheetData>
    <row r="2" spans="1:10" ht="24" customHeight="1" x14ac:dyDescent="0.35">
      <c r="B2" s="9" t="s">
        <v>173</v>
      </c>
      <c r="C2" s="9"/>
      <c r="D2" s="9"/>
      <c r="E2" s="9"/>
      <c r="F2" s="9"/>
      <c r="G2" s="9"/>
      <c r="H2" s="9"/>
      <c r="I2" s="9"/>
      <c r="J2" s="9"/>
    </row>
    <row r="4" spans="1:10" ht="15" customHeight="1" x14ac:dyDescent="0.35">
      <c r="B4" s="13" t="s">
        <v>174</v>
      </c>
      <c r="C4" s="13"/>
      <c r="D4" s="13"/>
      <c r="E4" s="13"/>
      <c r="F4" s="13"/>
      <c r="G4" s="13"/>
      <c r="H4" s="13"/>
      <c r="I4" s="13"/>
      <c r="J4" s="13"/>
    </row>
    <row r="6" spans="1:10" ht="15" customHeight="1" x14ac:dyDescent="0.35">
      <c r="A6" t="s">
        <v>434</v>
      </c>
      <c r="B6" s="7" t="s">
        <v>175</v>
      </c>
      <c r="C6" s="7"/>
      <c r="D6" s="7"/>
      <c r="E6" s="7"/>
      <c r="G6" s="7" t="s">
        <v>176</v>
      </c>
      <c r="H6" s="7"/>
      <c r="I6" s="7"/>
      <c r="J6" s="7"/>
    </row>
    <row r="7" spans="1:10" ht="15" customHeight="1" x14ac:dyDescent="0.35">
      <c r="B7" s="30" t="s">
        <v>177</v>
      </c>
      <c r="C7" s="30" t="s">
        <v>178</v>
      </c>
      <c r="D7" s="30" t="s">
        <v>179</v>
      </c>
      <c r="E7" s="30" t="s">
        <v>180</v>
      </c>
      <c r="G7" s="30" t="s">
        <v>181</v>
      </c>
      <c r="H7" s="30" t="s">
        <v>178</v>
      </c>
      <c r="I7" s="30" t="s">
        <v>179</v>
      </c>
      <c r="J7" s="30"/>
    </row>
    <row r="8" spans="1:10" ht="23.25" customHeight="1" x14ac:dyDescent="0.35">
      <c r="B8" s="22" t="s">
        <v>182</v>
      </c>
      <c r="C8" s="31">
        <f>Assumptions!C13</f>
        <v>3400</v>
      </c>
      <c r="D8" s="32">
        <f>C8/$C$12</f>
        <v>0.4</v>
      </c>
      <c r="E8" s="33">
        <f>C8/(Assumptions!C25*Assumptions!C34)</f>
        <v>8.9947089947089953</v>
      </c>
      <c r="G8" s="22" t="s">
        <v>183</v>
      </c>
      <c r="H8" s="34">
        <f>C12-H9-H10-H11</f>
        <v>7463</v>
      </c>
      <c r="I8" s="32">
        <f>H8/$H$12</f>
        <v>0.878</v>
      </c>
    </row>
    <row r="9" spans="1:10" ht="15" customHeight="1" x14ac:dyDescent="0.35">
      <c r="B9" s="22" t="s">
        <v>184</v>
      </c>
      <c r="C9" s="31">
        <f>Assumptions!C17</f>
        <v>850</v>
      </c>
      <c r="D9" s="32">
        <f>C9/$C$12</f>
        <v>0.1</v>
      </c>
      <c r="E9" s="33">
        <f>C9/(Assumptions!C25*Assumptions!C34)</f>
        <v>2.2486772486772488</v>
      </c>
      <c r="G9" s="22" t="s">
        <v>185</v>
      </c>
      <c r="H9" s="35">
        <v>650</v>
      </c>
      <c r="I9" s="32">
        <f>H9/$H$12</f>
        <v>7.6470588235294124E-2</v>
      </c>
    </row>
    <row r="10" spans="1:10" ht="15" customHeight="1" x14ac:dyDescent="0.35">
      <c r="B10" s="22" t="s">
        <v>90</v>
      </c>
      <c r="C10" s="31">
        <f>Assumptions!C19</f>
        <v>3825</v>
      </c>
      <c r="D10" s="32">
        <f>C10/$C$12</f>
        <v>0.45</v>
      </c>
      <c r="E10" s="36" t="s">
        <v>186</v>
      </c>
      <c r="G10" s="22" t="s">
        <v>187</v>
      </c>
      <c r="H10" s="31">
        <f>Assumptions!C10</f>
        <v>200</v>
      </c>
      <c r="I10" s="32">
        <f>H10/$H$12</f>
        <v>2.3529411764705882E-2</v>
      </c>
    </row>
    <row r="11" spans="1:10" ht="15" customHeight="1" x14ac:dyDescent="0.35">
      <c r="B11" s="22" t="s">
        <v>92</v>
      </c>
      <c r="C11" s="31">
        <f>Assumptions!C20</f>
        <v>425</v>
      </c>
      <c r="D11" s="32">
        <f>C11/$C$12</f>
        <v>0.05</v>
      </c>
      <c r="E11" s="36" t="s">
        <v>186</v>
      </c>
      <c r="G11" s="22" t="s">
        <v>188</v>
      </c>
      <c r="H11" s="31">
        <f>Assumptions!C6*Assumptions!C9</f>
        <v>187</v>
      </c>
      <c r="I11" s="32">
        <f>H11/$H$12</f>
        <v>2.1999999999999999E-2</v>
      </c>
    </row>
    <row r="12" spans="1:10" ht="15" customHeight="1" x14ac:dyDescent="0.35">
      <c r="B12" s="37" t="s">
        <v>189</v>
      </c>
      <c r="C12" s="38">
        <f>SUM(C8:C11)</f>
        <v>8500</v>
      </c>
      <c r="D12" s="39">
        <f>SUM(D8:D11)</f>
        <v>1</v>
      </c>
      <c r="E12" s="40">
        <f>(C8+C9)/(Assumptions!C25*Assumptions!C34)</f>
        <v>11.243386243386244</v>
      </c>
      <c r="G12" s="37" t="s">
        <v>190</v>
      </c>
      <c r="H12" s="38">
        <f>SUM(H8:H11)</f>
        <v>8500</v>
      </c>
      <c r="I12" s="39">
        <f>SUM(I8:I11)</f>
        <v>1</v>
      </c>
    </row>
    <row r="14" spans="1:10" ht="15" customHeight="1" x14ac:dyDescent="0.35">
      <c r="A14" t="s">
        <v>434</v>
      </c>
      <c r="B14" s="20" t="s">
        <v>191</v>
      </c>
      <c r="C14" s="41">
        <f>C12-H12</f>
        <v>0</v>
      </c>
      <c r="D14" s="42" t="str">
        <f>IF(ABS(C14)&lt;0.5,"OK","ERROR")</f>
        <v>OK</v>
      </c>
    </row>
    <row r="17" spans="1:10" ht="15" customHeight="1" x14ac:dyDescent="0.35">
      <c r="A17" t="s">
        <v>434</v>
      </c>
      <c r="B17" s="7" t="s">
        <v>192</v>
      </c>
      <c r="C17" s="7"/>
      <c r="D17" s="7"/>
      <c r="E17" s="7"/>
      <c r="F17" s="7"/>
      <c r="G17" s="7"/>
      <c r="H17" s="7"/>
      <c r="I17" s="7"/>
      <c r="J17" s="7"/>
    </row>
    <row r="18" spans="1:10" ht="15" customHeight="1" x14ac:dyDescent="0.35">
      <c r="B18" s="22" t="s">
        <v>9</v>
      </c>
      <c r="C18" s="31">
        <f>Assumptions!C6</f>
        <v>8500</v>
      </c>
      <c r="D18" s="6" t="s">
        <v>193</v>
      </c>
      <c r="E18" s="6"/>
      <c r="F18" s="6"/>
      <c r="G18" s="6"/>
      <c r="H18" s="6"/>
      <c r="I18" s="6"/>
      <c r="J18" s="6"/>
    </row>
    <row r="19" spans="1:10" ht="15" customHeight="1" x14ac:dyDescent="0.35">
      <c r="B19" s="22" t="s">
        <v>194</v>
      </c>
      <c r="C19" s="31">
        <f>Assumptions!C10</f>
        <v>200</v>
      </c>
      <c r="D19" s="6" t="s">
        <v>195</v>
      </c>
      <c r="E19" s="6"/>
      <c r="F19" s="6"/>
      <c r="G19" s="6"/>
      <c r="H19" s="6"/>
      <c r="I19" s="6"/>
      <c r="J19" s="6"/>
    </row>
    <row r="20" spans="1:10" ht="15" customHeight="1" x14ac:dyDescent="0.35">
      <c r="B20" s="22" t="s">
        <v>196</v>
      </c>
      <c r="C20" s="31">
        <f>Assumptions!C6*Assumptions!C9</f>
        <v>187</v>
      </c>
      <c r="D20" s="6" t="s">
        <v>197</v>
      </c>
      <c r="E20" s="6"/>
      <c r="F20" s="6"/>
      <c r="G20" s="6"/>
      <c r="H20" s="6"/>
      <c r="I20" s="6"/>
      <c r="J20" s="6"/>
    </row>
    <row r="21" spans="1:10" ht="15" customHeight="1" x14ac:dyDescent="0.35">
      <c r="B21" s="22" t="s">
        <v>198</v>
      </c>
      <c r="C21" s="35">
        <v>-650</v>
      </c>
      <c r="D21" s="6" t="s">
        <v>199</v>
      </c>
      <c r="E21" s="6"/>
      <c r="F21" s="6"/>
      <c r="G21" s="6"/>
      <c r="H21" s="6"/>
      <c r="I21" s="6"/>
      <c r="J21" s="6"/>
    </row>
    <row r="22" spans="1:10" ht="15" customHeight="1" x14ac:dyDescent="0.35">
      <c r="B22" s="43" t="s">
        <v>200</v>
      </c>
      <c r="C22" s="44">
        <f>C18+C19+C20+C21</f>
        <v>8237</v>
      </c>
      <c r="D22" s="5" t="s">
        <v>201</v>
      </c>
      <c r="E22" s="5"/>
      <c r="F22" s="5"/>
      <c r="G22" s="5"/>
      <c r="H22" s="5"/>
      <c r="I22" s="5"/>
      <c r="J22" s="5"/>
    </row>
  </sheetData>
  <mergeCells count="10">
    <mergeCell ref="D18:J18"/>
    <mergeCell ref="D19:J19"/>
    <mergeCell ref="D20:J20"/>
    <mergeCell ref="D21:J21"/>
    <mergeCell ref="D22:J22"/>
    <mergeCell ref="B2:J2"/>
    <mergeCell ref="B4:J4"/>
    <mergeCell ref="B6:E6"/>
    <mergeCell ref="G6:J6"/>
    <mergeCell ref="B17:J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7"/>
  <sheetViews>
    <sheetView showGridLines="0" topLeftCell="A25" zoomScaleNormal="100" workbookViewId="0">
      <selection activeCell="A51" sqref="A51"/>
    </sheetView>
  </sheetViews>
  <sheetFormatPr defaultColWidth="8.6328125" defaultRowHeight="14.5" x14ac:dyDescent="0.35"/>
  <cols>
    <col min="1" max="1" width="2" customWidth="1"/>
    <col min="2" max="2" width="38" customWidth="1"/>
    <col min="3" max="9" width="13" customWidth="1"/>
  </cols>
  <sheetData>
    <row r="2" spans="1:9" ht="24" customHeight="1" x14ac:dyDescent="0.35">
      <c r="B2" s="9" t="s">
        <v>202</v>
      </c>
      <c r="C2" s="9"/>
      <c r="D2" s="9"/>
      <c r="E2" s="9"/>
      <c r="F2" s="9"/>
      <c r="G2" s="9"/>
      <c r="H2" s="9"/>
      <c r="I2" s="9"/>
    </row>
    <row r="4" spans="1:9" ht="19.5" customHeight="1" x14ac:dyDescent="0.35">
      <c r="B4" s="45" t="s">
        <v>203</v>
      </c>
      <c r="C4" s="21" t="s">
        <v>204</v>
      </c>
      <c r="D4" s="21" t="s">
        <v>205</v>
      </c>
      <c r="E4" s="21" t="s">
        <v>206</v>
      </c>
      <c r="F4" s="21" t="s">
        <v>207</v>
      </c>
      <c r="G4" s="21" t="s">
        <v>208</v>
      </c>
      <c r="H4" s="21" t="s">
        <v>209</v>
      </c>
      <c r="I4" s="21" t="s">
        <v>210</v>
      </c>
    </row>
    <row r="5" spans="1:9" ht="15" customHeight="1" x14ac:dyDescent="0.35">
      <c r="A5" t="s">
        <v>434</v>
      </c>
      <c r="B5" s="4" t="s">
        <v>211</v>
      </c>
      <c r="C5" s="4"/>
      <c r="D5" s="4"/>
      <c r="E5" s="4"/>
      <c r="F5" s="4"/>
      <c r="G5" s="4"/>
      <c r="H5" s="4"/>
      <c r="I5" s="4"/>
    </row>
    <row r="6" spans="1:9" ht="15" customHeight="1" x14ac:dyDescent="0.35">
      <c r="B6" s="15" t="s">
        <v>212</v>
      </c>
      <c r="C6" s="46">
        <f>Assumptions!C25</f>
        <v>2100</v>
      </c>
      <c r="D6" s="47">
        <f>C6*(1+Assumptions!C26)</f>
        <v>2373</v>
      </c>
      <c r="E6" s="47">
        <f>D6*(1+Assumptions!C27)</f>
        <v>2681.49</v>
      </c>
      <c r="F6" s="47">
        <f>E6*(1+Assumptions!C28)</f>
        <v>3003.2687999999998</v>
      </c>
      <c r="G6" s="47">
        <f>F6*(1+Assumptions!C29)</f>
        <v>3333.6283680000001</v>
      </c>
      <c r="H6" s="47">
        <f>G6*(1+Assumptions!C30)</f>
        <v>3666.9912048000006</v>
      </c>
      <c r="I6" s="47">
        <f>H6*(1+Assumptions!C31)</f>
        <v>3997.0204132320009</v>
      </c>
    </row>
    <row r="7" spans="1:9" ht="15" customHeight="1" x14ac:dyDescent="0.35">
      <c r="B7" s="48" t="s">
        <v>213</v>
      </c>
      <c r="C7" s="49"/>
      <c r="D7" s="50">
        <f t="shared" ref="D7:I7" si="0">D6/C6-1</f>
        <v>0.12999999999999989</v>
      </c>
      <c r="E7" s="50">
        <f t="shared" si="0"/>
        <v>0.12999999999999989</v>
      </c>
      <c r="F7" s="50">
        <f t="shared" si="0"/>
        <v>0.12000000000000011</v>
      </c>
      <c r="G7" s="50">
        <f t="shared" si="0"/>
        <v>0.1100000000000001</v>
      </c>
      <c r="H7" s="50">
        <f t="shared" si="0"/>
        <v>0.10000000000000009</v>
      </c>
      <c r="I7" s="50">
        <f t="shared" si="0"/>
        <v>9.000000000000008E-2</v>
      </c>
    </row>
    <row r="8" spans="1:9" ht="15" customHeight="1" x14ac:dyDescent="0.35">
      <c r="B8" s="15" t="s">
        <v>214</v>
      </c>
      <c r="C8" s="47">
        <f>C6*Assumptions!C34</f>
        <v>378</v>
      </c>
      <c r="D8" s="47">
        <f>D6*Assumptions!C35</f>
        <v>434.25900000000001</v>
      </c>
      <c r="E8" s="47">
        <f>E6*Assumptions!C36</f>
        <v>501.43862999999993</v>
      </c>
      <c r="F8" s="47">
        <f>F6*Assumptions!C37</f>
        <v>579.63087840000003</v>
      </c>
      <c r="G8" s="47">
        <f>G6*Assumptions!C38</f>
        <v>660.05841686400004</v>
      </c>
      <c r="H8" s="47">
        <f>H6*Assumptions!C39</f>
        <v>740.73222336960021</v>
      </c>
      <c r="I8" s="47">
        <f>I6*Assumptions!C40</f>
        <v>819.38918471256011</v>
      </c>
    </row>
    <row r="9" spans="1:9" ht="15" customHeight="1" x14ac:dyDescent="0.35">
      <c r="B9" s="48" t="s">
        <v>215</v>
      </c>
      <c r="C9" s="50">
        <f t="shared" ref="C9:I9" si="1">C8/C6</f>
        <v>0.18</v>
      </c>
      <c r="D9" s="50">
        <f t="shared" si="1"/>
        <v>0.183</v>
      </c>
      <c r="E9" s="50">
        <f t="shared" si="1"/>
        <v>0.187</v>
      </c>
      <c r="F9" s="50">
        <f t="shared" si="1"/>
        <v>0.19300000000000003</v>
      </c>
      <c r="G9" s="50">
        <f t="shared" si="1"/>
        <v>0.19800000000000001</v>
      </c>
      <c r="H9" s="50">
        <f t="shared" si="1"/>
        <v>0.20200000000000001</v>
      </c>
      <c r="I9" s="50">
        <f t="shared" si="1"/>
        <v>0.20499999999999999</v>
      </c>
    </row>
    <row r="11" spans="1:9" ht="15" customHeight="1" x14ac:dyDescent="0.35">
      <c r="A11" t="s">
        <v>434</v>
      </c>
      <c r="B11" s="3" t="s">
        <v>216</v>
      </c>
      <c r="C11" s="3"/>
      <c r="D11" s="3"/>
      <c r="E11" s="3"/>
      <c r="F11" s="3"/>
      <c r="G11" s="3"/>
      <c r="H11" s="3"/>
      <c r="I11" s="3"/>
    </row>
    <row r="12" spans="1:9" ht="15" customHeight="1" x14ac:dyDescent="0.35">
      <c r="B12" s="16" t="s">
        <v>217</v>
      </c>
      <c r="C12" s="47">
        <v>0</v>
      </c>
      <c r="D12" s="47">
        <v>0</v>
      </c>
      <c r="E12" s="46">
        <f>Assumptions!C53*Assumptions!C55</f>
        <v>36</v>
      </c>
      <c r="F12" s="46">
        <f>Assumptions!C53*Assumptions!C56</f>
        <v>99.000000000000014</v>
      </c>
      <c r="G12" s="46">
        <f>Assumptions!C53*Assumptions!C57</f>
        <v>180</v>
      </c>
      <c r="H12" s="46">
        <f>Assumptions!C53*Assumptions!C58</f>
        <v>198.00000000000003</v>
      </c>
      <c r="I12" s="46">
        <f>Assumptions!C53*Assumptions!C59</f>
        <v>206.99999999999997</v>
      </c>
    </row>
    <row r="13" spans="1:9" ht="15" customHeight="1" x14ac:dyDescent="0.35">
      <c r="B13" s="16" t="s">
        <v>218</v>
      </c>
      <c r="C13" s="47">
        <v>0</v>
      </c>
      <c r="D13" s="47">
        <v>0</v>
      </c>
      <c r="E13" s="46">
        <f>Assumptions!C54*Assumptions!C55</f>
        <v>20</v>
      </c>
      <c r="F13" s="46">
        <f>Assumptions!C54*Assumptions!C56</f>
        <v>55.000000000000007</v>
      </c>
      <c r="G13" s="46">
        <f>Assumptions!C54*Assumptions!C57</f>
        <v>100</v>
      </c>
      <c r="H13" s="46">
        <f>Assumptions!C54*Assumptions!C58</f>
        <v>110.00000000000001</v>
      </c>
      <c r="I13" s="46">
        <f>Assumptions!C54*Assumptions!C59</f>
        <v>114.99999999999999</v>
      </c>
    </row>
    <row r="14" spans="1:9" ht="15" customHeight="1" x14ac:dyDescent="0.35">
      <c r="B14" s="15" t="s">
        <v>219</v>
      </c>
      <c r="C14" s="51">
        <f t="shared" ref="C14:I14" si="2">C12+C13</f>
        <v>0</v>
      </c>
      <c r="D14" s="51">
        <f t="shared" si="2"/>
        <v>0</v>
      </c>
      <c r="E14" s="51">
        <f t="shared" si="2"/>
        <v>56</v>
      </c>
      <c r="F14" s="51">
        <f t="shared" si="2"/>
        <v>154.00000000000003</v>
      </c>
      <c r="G14" s="51">
        <f t="shared" si="2"/>
        <v>280</v>
      </c>
      <c r="H14" s="51">
        <f t="shared" si="2"/>
        <v>308.00000000000006</v>
      </c>
      <c r="I14" s="51">
        <f t="shared" si="2"/>
        <v>321.99999999999994</v>
      </c>
    </row>
    <row r="15" spans="1:9" ht="15" customHeight="1" x14ac:dyDescent="0.35">
      <c r="B15" s="16" t="s">
        <v>220</v>
      </c>
      <c r="C15" s="47">
        <v>0</v>
      </c>
      <c r="D15" s="47">
        <v>0</v>
      </c>
      <c r="E15" s="52">
        <v>-120</v>
      </c>
      <c r="F15" s="52">
        <v>-80</v>
      </c>
      <c r="G15" s="47">
        <v>0</v>
      </c>
      <c r="H15" s="47">
        <v>0</v>
      </c>
      <c r="I15" s="47">
        <v>0</v>
      </c>
    </row>
    <row r="16" spans="1:9" ht="15" customHeight="1" x14ac:dyDescent="0.35">
      <c r="B16" s="53" t="s">
        <v>221</v>
      </c>
      <c r="C16" s="54">
        <f t="shared" ref="C16:I16" si="3">C14+C15</f>
        <v>0</v>
      </c>
      <c r="D16" s="54">
        <f t="shared" si="3"/>
        <v>0</v>
      </c>
      <c r="E16" s="54">
        <f t="shared" si="3"/>
        <v>-64</v>
      </c>
      <c r="F16" s="54">
        <f t="shared" si="3"/>
        <v>74.000000000000028</v>
      </c>
      <c r="G16" s="54">
        <f t="shared" si="3"/>
        <v>280</v>
      </c>
      <c r="H16" s="54">
        <f t="shared" si="3"/>
        <v>308.00000000000006</v>
      </c>
      <c r="I16" s="54">
        <f t="shared" si="3"/>
        <v>321.99999999999994</v>
      </c>
    </row>
    <row r="18" spans="1:9" ht="15" customHeight="1" x14ac:dyDescent="0.35">
      <c r="A18" t="s">
        <v>434</v>
      </c>
      <c r="B18" s="2" t="s">
        <v>222</v>
      </c>
      <c r="C18" s="2"/>
      <c r="D18" s="2"/>
      <c r="E18" s="2"/>
      <c r="F18" s="2"/>
      <c r="G18" s="2"/>
      <c r="H18" s="2"/>
      <c r="I18" s="2"/>
    </row>
    <row r="19" spans="1:9" ht="15" customHeight="1" x14ac:dyDescent="0.35">
      <c r="B19" s="15" t="s">
        <v>223</v>
      </c>
      <c r="C19" s="51">
        <f t="shared" ref="C19:I19" si="4">C6+C12</f>
        <v>2100</v>
      </c>
      <c r="D19" s="51">
        <f t="shared" si="4"/>
        <v>2373</v>
      </c>
      <c r="E19" s="51">
        <f t="shared" si="4"/>
        <v>2717.49</v>
      </c>
      <c r="F19" s="51">
        <f t="shared" si="4"/>
        <v>3102.2687999999998</v>
      </c>
      <c r="G19" s="51">
        <f t="shared" si="4"/>
        <v>3513.6283680000001</v>
      </c>
      <c r="H19" s="51">
        <f t="shared" si="4"/>
        <v>3864.9912048000006</v>
      </c>
      <c r="I19" s="51">
        <f t="shared" si="4"/>
        <v>4204.0204132320005</v>
      </c>
    </row>
    <row r="20" spans="1:9" ht="15" customHeight="1" x14ac:dyDescent="0.35">
      <c r="B20" s="55" t="s">
        <v>224</v>
      </c>
      <c r="C20" s="56">
        <f t="shared" ref="C20:I20" si="5">C8+C16</f>
        <v>378</v>
      </c>
      <c r="D20" s="56">
        <f t="shared" si="5"/>
        <v>434.25900000000001</v>
      </c>
      <c r="E20" s="56">
        <f t="shared" si="5"/>
        <v>437.43862999999993</v>
      </c>
      <c r="F20" s="56">
        <f t="shared" si="5"/>
        <v>653.63087840000003</v>
      </c>
      <c r="G20" s="56">
        <f t="shared" si="5"/>
        <v>940.05841686400004</v>
      </c>
      <c r="H20" s="56">
        <f t="shared" si="5"/>
        <v>1048.7322233696002</v>
      </c>
      <c r="I20" s="56">
        <f t="shared" si="5"/>
        <v>1141.3891847125601</v>
      </c>
    </row>
    <row r="21" spans="1:9" ht="15" customHeight="1" x14ac:dyDescent="0.35">
      <c r="B21" s="48" t="s">
        <v>215</v>
      </c>
      <c r="C21" s="50">
        <f t="shared" ref="C21:I21" si="6">C20/C19</f>
        <v>0.18</v>
      </c>
      <c r="D21" s="50">
        <f t="shared" si="6"/>
        <v>0.183</v>
      </c>
      <c r="E21" s="50">
        <f t="shared" si="6"/>
        <v>0.1609715693526011</v>
      </c>
      <c r="F21" s="50">
        <f t="shared" si="6"/>
        <v>0.21069446928647836</v>
      </c>
      <c r="G21" s="50">
        <f t="shared" si="6"/>
        <v>0.26754634195963434</v>
      </c>
      <c r="H21" s="50">
        <f t="shared" si="6"/>
        <v>0.27134142558129531</v>
      </c>
      <c r="I21" s="50">
        <f t="shared" si="6"/>
        <v>0.27149943923204545</v>
      </c>
    </row>
    <row r="22" spans="1:9" ht="15" customHeight="1" x14ac:dyDescent="0.35">
      <c r="B22" s="16" t="s">
        <v>225</v>
      </c>
      <c r="C22" s="47">
        <f>-C19*Assumptions!C43</f>
        <v>-157.5</v>
      </c>
      <c r="D22" s="47">
        <f>-D19*Assumptions!C43</f>
        <v>-177.97499999999999</v>
      </c>
      <c r="E22" s="47">
        <f>-E19*Assumptions!C43</f>
        <v>-203.81174999999999</v>
      </c>
      <c r="F22" s="47">
        <f>-F19*Assumptions!C43</f>
        <v>-232.67015999999998</v>
      </c>
      <c r="G22" s="47">
        <f>-G19*Assumptions!C43</f>
        <v>-263.52212759999998</v>
      </c>
      <c r="H22" s="47">
        <f>-H19*Assumptions!C43</f>
        <v>-289.87434036000002</v>
      </c>
      <c r="I22" s="47">
        <f>-I19*Assumptions!C43</f>
        <v>-315.30153099240005</v>
      </c>
    </row>
    <row r="23" spans="1:9" ht="15" customHeight="1" x14ac:dyDescent="0.35">
      <c r="B23" s="15" t="s">
        <v>226</v>
      </c>
      <c r="C23" s="51">
        <f t="shared" ref="C23:I23" si="7">C20+C22</f>
        <v>220.5</v>
      </c>
      <c r="D23" s="51">
        <f t="shared" si="7"/>
        <v>256.28399999999999</v>
      </c>
      <c r="E23" s="51">
        <f t="shared" si="7"/>
        <v>233.62687999999994</v>
      </c>
      <c r="F23" s="51">
        <f t="shared" si="7"/>
        <v>420.96071840000002</v>
      </c>
      <c r="G23" s="51">
        <f t="shared" si="7"/>
        <v>676.53628926400006</v>
      </c>
      <c r="H23" s="51">
        <f t="shared" si="7"/>
        <v>758.85788300960019</v>
      </c>
      <c r="I23" s="51">
        <f t="shared" si="7"/>
        <v>826.08765372016001</v>
      </c>
    </row>
    <row r="24" spans="1:9" ht="15" customHeight="1" x14ac:dyDescent="0.35">
      <c r="B24" s="16" t="s">
        <v>227</v>
      </c>
      <c r="C24" s="47">
        <v>0</v>
      </c>
      <c r="D24" s="46">
        <f>-Debt_Schedule!D23</f>
        <v>-497.25</v>
      </c>
      <c r="E24" s="46">
        <f>-Debt_Schedule!E23</f>
        <v>-499.05624999999998</v>
      </c>
      <c r="F24" s="46">
        <f>-Debt_Schedule!F23</f>
        <v>-501.11208124999996</v>
      </c>
      <c r="G24" s="46">
        <f>-Debt_Schedule!G23</f>
        <v>-503.42872490625007</v>
      </c>
      <c r="H24" s="46">
        <f>-Debt_Schedule!H23</f>
        <v>-506.01791752703127</v>
      </c>
      <c r="I24" s="46">
        <f>-Debt_Schedule!I23</f>
        <v>-508.8919238157477</v>
      </c>
    </row>
    <row r="25" spans="1:9" ht="15" customHeight="1" x14ac:dyDescent="0.35">
      <c r="B25" s="15" t="s">
        <v>228</v>
      </c>
      <c r="C25" s="51">
        <f t="shared" ref="C25:I25" si="8">C23+C24</f>
        <v>220.5</v>
      </c>
      <c r="D25" s="51">
        <f t="shared" si="8"/>
        <v>-240.96600000000001</v>
      </c>
      <c r="E25" s="51">
        <f t="shared" si="8"/>
        <v>-265.42937000000006</v>
      </c>
      <c r="F25" s="51">
        <f t="shared" si="8"/>
        <v>-80.151362849999941</v>
      </c>
      <c r="G25" s="51">
        <f t="shared" si="8"/>
        <v>173.10756435774999</v>
      </c>
      <c r="H25" s="51">
        <f t="shared" si="8"/>
        <v>252.83996548256891</v>
      </c>
      <c r="I25" s="51">
        <f t="shared" si="8"/>
        <v>317.1957299044123</v>
      </c>
    </row>
    <row r="26" spans="1:9" ht="15" customHeight="1" x14ac:dyDescent="0.35">
      <c r="B26" s="16" t="s">
        <v>229</v>
      </c>
      <c r="C26" s="47">
        <f>-MAX(C25,0)*Assumptions!C49</f>
        <v>-55.566000000000003</v>
      </c>
      <c r="D26" s="47">
        <f>-MAX(D25,0)*Assumptions!C49</f>
        <v>0</v>
      </c>
      <c r="E26" s="47">
        <f>-MAX(E25,0)*Assumptions!C49</f>
        <v>0</v>
      </c>
      <c r="F26" s="47">
        <f>-MAX(F25,0)*Assumptions!C49</f>
        <v>0</v>
      </c>
      <c r="G26" s="47">
        <f>-MAX(G25,0)*Assumptions!C49</f>
        <v>-43.623106218152998</v>
      </c>
      <c r="H26" s="47">
        <f>-MAX(H25,0)*Assumptions!C49</f>
        <v>-63.715671301607365</v>
      </c>
      <c r="I26" s="47">
        <f>-MAX(I25,0)*Assumptions!C49</f>
        <v>-79.933323935911901</v>
      </c>
    </row>
    <row r="27" spans="1:9" ht="15" customHeight="1" x14ac:dyDescent="0.35">
      <c r="B27" s="55" t="s">
        <v>230</v>
      </c>
      <c r="C27" s="56">
        <f t="shared" ref="C27:I27" si="9">C25+C26</f>
        <v>164.934</v>
      </c>
      <c r="D27" s="56">
        <f t="shared" si="9"/>
        <v>-240.96600000000001</v>
      </c>
      <c r="E27" s="56">
        <f t="shared" si="9"/>
        <v>-265.42937000000006</v>
      </c>
      <c r="F27" s="56">
        <f t="shared" si="9"/>
        <v>-80.151362849999941</v>
      </c>
      <c r="G27" s="56">
        <f t="shared" si="9"/>
        <v>129.484458139597</v>
      </c>
      <c r="H27" s="56">
        <f t="shared" si="9"/>
        <v>189.12429418096156</v>
      </c>
      <c r="I27" s="56">
        <f t="shared" si="9"/>
        <v>237.26240596850039</v>
      </c>
    </row>
    <row r="29" spans="1:9" ht="15" customHeight="1" x14ac:dyDescent="0.35">
      <c r="A29" t="s">
        <v>434</v>
      </c>
      <c r="B29" s="1" t="s">
        <v>231</v>
      </c>
      <c r="C29" s="1"/>
      <c r="D29" s="1"/>
      <c r="E29" s="1"/>
      <c r="F29" s="1"/>
      <c r="G29" s="1"/>
      <c r="H29" s="1"/>
      <c r="I29" s="1"/>
    </row>
    <row r="30" spans="1:9" ht="15" customHeight="1" x14ac:dyDescent="0.35">
      <c r="B30" s="16" t="s">
        <v>232</v>
      </c>
      <c r="C30" s="47">
        <f>C19*Assumptions!C44</f>
        <v>84</v>
      </c>
      <c r="D30" s="47">
        <f>D19*Assumptions!C44</f>
        <v>94.92</v>
      </c>
      <c r="E30" s="47">
        <f>E19*Assumptions!C44</f>
        <v>108.69959999999999</v>
      </c>
      <c r="F30" s="47">
        <f>F19*Assumptions!C44</f>
        <v>124.09075199999999</v>
      </c>
      <c r="G30" s="47">
        <f>G19*Assumptions!C44</f>
        <v>140.54513472000002</v>
      </c>
      <c r="H30" s="47">
        <f>H19*Assumptions!C44</f>
        <v>154.59964819200002</v>
      </c>
      <c r="I30" s="47">
        <f>I19*Assumptions!C44</f>
        <v>168.16081652928003</v>
      </c>
    </row>
    <row r="31" spans="1:9" ht="15" customHeight="1" x14ac:dyDescent="0.35">
      <c r="B31" s="16" t="s">
        <v>233</v>
      </c>
      <c r="C31" s="47">
        <v>0</v>
      </c>
      <c r="D31" s="46">
        <f>Assumptions!C45</f>
        <v>250</v>
      </c>
      <c r="E31" s="46">
        <f>Assumptions!C46</f>
        <v>200</v>
      </c>
      <c r="F31" s="46">
        <f>Assumptions!C47</f>
        <v>150</v>
      </c>
      <c r="G31" s="46">
        <f>Assumptions!C48</f>
        <v>100</v>
      </c>
      <c r="H31" s="46">
        <f>Assumptions!C48</f>
        <v>100</v>
      </c>
      <c r="I31" s="46">
        <f>Assumptions!C48</f>
        <v>100</v>
      </c>
    </row>
    <row r="32" spans="1:9" ht="15" customHeight="1" x14ac:dyDescent="0.35">
      <c r="B32" s="15" t="s">
        <v>234</v>
      </c>
      <c r="C32" s="51">
        <f t="shared" ref="C32:I32" si="10">C30+C31</f>
        <v>84</v>
      </c>
      <c r="D32" s="51">
        <f t="shared" si="10"/>
        <v>344.92</v>
      </c>
      <c r="E32" s="51">
        <f t="shared" si="10"/>
        <v>308.69959999999998</v>
      </c>
      <c r="F32" s="51">
        <f t="shared" si="10"/>
        <v>274.09075200000001</v>
      </c>
      <c r="G32" s="51">
        <f t="shared" si="10"/>
        <v>240.54513472000002</v>
      </c>
      <c r="H32" s="51">
        <f t="shared" si="10"/>
        <v>254.59964819200002</v>
      </c>
      <c r="I32" s="51">
        <f t="shared" si="10"/>
        <v>268.16081652928005</v>
      </c>
    </row>
    <row r="33" spans="1:9" ht="15" customHeight="1" x14ac:dyDescent="0.35">
      <c r="B33" s="16" t="s">
        <v>235</v>
      </c>
      <c r="C33" s="47">
        <f>C19*Assumptions!C50</f>
        <v>168</v>
      </c>
      <c r="D33" s="47">
        <f>D19*Assumptions!C50</f>
        <v>189.84</v>
      </c>
      <c r="E33" s="47">
        <f>E19*Assumptions!C50</f>
        <v>217.39919999999998</v>
      </c>
      <c r="F33" s="47">
        <f>F19*Assumptions!C50</f>
        <v>248.18150399999999</v>
      </c>
      <c r="G33" s="47">
        <f>G19*Assumptions!C50</f>
        <v>281.09026944000004</v>
      </c>
      <c r="H33" s="47">
        <f>H19*Assumptions!C50</f>
        <v>309.19929638400004</v>
      </c>
      <c r="I33" s="47">
        <f>I19*Assumptions!C50</f>
        <v>336.32163305856005</v>
      </c>
    </row>
    <row r="34" spans="1:9" ht="15" customHeight="1" x14ac:dyDescent="0.35">
      <c r="B34" s="16" t="s">
        <v>236</v>
      </c>
      <c r="C34" s="47">
        <v>0</v>
      </c>
      <c r="D34" s="47">
        <f t="shared" ref="D34:I34" si="11">-(D33-C33)</f>
        <v>-21.840000000000003</v>
      </c>
      <c r="E34" s="47">
        <f t="shared" si="11"/>
        <v>-27.559199999999976</v>
      </c>
      <c r="F34" s="47">
        <f t="shared" si="11"/>
        <v>-30.782304000000011</v>
      </c>
      <c r="G34" s="47">
        <f t="shared" si="11"/>
        <v>-32.908765440000053</v>
      </c>
      <c r="H34" s="47">
        <f t="shared" si="11"/>
        <v>-28.109026943999993</v>
      </c>
      <c r="I34" s="47">
        <f t="shared" si="11"/>
        <v>-27.122336674560017</v>
      </c>
    </row>
    <row r="36" spans="1:9" ht="13.5" customHeight="1" x14ac:dyDescent="0.35">
      <c r="A36" t="s">
        <v>434</v>
      </c>
      <c r="B36" s="2" t="s">
        <v>237</v>
      </c>
      <c r="C36" s="2"/>
      <c r="D36" s="2"/>
      <c r="E36" s="2"/>
      <c r="F36" s="2"/>
      <c r="G36" s="2"/>
      <c r="H36" s="2"/>
      <c r="I36" s="2"/>
    </row>
    <row r="37" spans="1:9" ht="15" customHeight="1" x14ac:dyDescent="0.35">
      <c r="B37" s="15" t="s">
        <v>238</v>
      </c>
      <c r="C37" s="51">
        <f>I20</f>
        <v>1141.3891847125601</v>
      </c>
    </row>
  </sheetData>
  <mergeCells count="6">
    <mergeCell ref="B36:I36"/>
    <mergeCell ref="B2:I2"/>
    <mergeCell ref="B5:I5"/>
    <mergeCell ref="B11:I11"/>
    <mergeCell ref="B18:I18"/>
    <mergeCell ref="B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7"/>
  <sheetViews>
    <sheetView showGridLines="0" topLeftCell="A11" zoomScaleNormal="100" workbookViewId="0">
      <selection activeCell="A37" sqref="A37"/>
    </sheetView>
  </sheetViews>
  <sheetFormatPr defaultColWidth="8.6328125" defaultRowHeight="14.5" x14ac:dyDescent="0.35"/>
  <cols>
    <col min="1" max="1" width="2" customWidth="1"/>
    <col min="2" max="2" width="38" customWidth="1"/>
    <col min="3" max="9" width="13" customWidth="1"/>
  </cols>
  <sheetData>
    <row r="2" spans="1:9" ht="24" customHeight="1" x14ac:dyDescent="0.35">
      <c r="B2" s="9" t="s">
        <v>239</v>
      </c>
      <c r="C2" s="9"/>
      <c r="D2" s="9"/>
      <c r="E2" s="9"/>
      <c r="F2" s="9"/>
      <c r="G2" s="9"/>
      <c r="H2" s="9"/>
      <c r="I2" s="9"/>
    </row>
    <row r="4" spans="1:9" ht="19.5" customHeight="1" x14ac:dyDescent="0.35">
      <c r="B4" s="45" t="s">
        <v>240</v>
      </c>
      <c r="C4" s="21" t="s">
        <v>241</v>
      </c>
      <c r="D4" s="21" t="s">
        <v>242</v>
      </c>
      <c r="E4" s="21" t="s">
        <v>243</v>
      </c>
      <c r="F4" s="21" t="s">
        <v>244</v>
      </c>
      <c r="G4" s="21" t="s">
        <v>245</v>
      </c>
      <c r="H4" s="21" t="s">
        <v>246</v>
      </c>
      <c r="I4" s="21" t="s">
        <v>247</v>
      </c>
    </row>
    <row r="5" spans="1:9" ht="15" customHeight="1" x14ac:dyDescent="0.35">
      <c r="A5" t="s">
        <v>434</v>
      </c>
      <c r="B5" s="4" t="s">
        <v>248</v>
      </c>
      <c r="C5" s="4"/>
      <c r="D5" s="4"/>
      <c r="E5" s="4"/>
      <c r="F5" s="4"/>
      <c r="G5" s="4"/>
      <c r="H5" s="4"/>
      <c r="I5" s="4"/>
    </row>
    <row r="6" spans="1:9" ht="15" customHeight="1" x14ac:dyDescent="0.35">
      <c r="B6" s="16" t="s">
        <v>249</v>
      </c>
      <c r="C6" s="46">
        <f>Assumptions!C13</f>
        <v>3400</v>
      </c>
      <c r="D6" s="47">
        <f t="shared" ref="D6:I6" si="0">C9</f>
        <v>3400</v>
      </c>
      <c r="E6" s="47">
        <f t="shared" si="0"/>
        <v>3366</v>
      </c>
      <c r="F6" s="47">
        <f t="shared" si="0"/>
        <v>3332</v>
      </c>
      <c r="G6" s="47">
        <f t="shared" si="0"/>
        <v>3298</v>
      </c>
      <c r="H6" s="47">
        <f t="shared" si="0"/>
        <v>3264</v>
      </c>
      <c r="I6" s="47">
        <f t="shared" si="0"/>
        <v>3230</v>
      </c>
    </row>
    <row r="7" spans="1:9" ht="15" customHeight="1" x14ac:dyDescent="0.35">
      <c r="B7" s="16" t="s">
        <v>250</v>
      </c>
      <c r="C7" s="47">
        <v>0</v>
      </c>
      <c r="D7" s="47">
        <f>-MIN(D6,Assumptions!C13*Assumptions!C16)</f>
        <v>-34</v>
      </c>
      <c r="E7" s="47">
        <f>-MIN(E6,Assumptions!C13*Assumptions!C16)</f>
        <v>-34</v>
      </c>
      <c r="F7" s="47">
        <f>-MIN(F6,Assumptions!C13*Assumptions!C16)</f>
        <v>-34</v>
      </c>
      <c r="G7" s="47">
        <f>-MIN(G6,Assumptions!C13*Assumptions!C16)</f>
        <v>-34</v>
      </c>
      <c r="H7" s="47">
        <f>-MIN(H6,Assumptions!C13*Assumptions!C16)</f>
        <v>-34</v>
      </c>
      <c r="I7" s="47">
        <f>-MIN(I6,Assumptions!C13*Assumptions!C16)</f>
        <v>-34</v>
      </c>
    </row>
    <row r="8" spans="1:9" ht="15" customHeight="1" x14ac:dyDescent="0.35">
      <c r="B8" s="16" t="s">
        <v>251</v>
      </c>
      <c r="C8" s="47">
        <v>0</v>
      </c>
      <c r="D8" s="46">
        <f>-MIN(D6+D7,MAX(0,FCF_Returns!D17))</f>
        <v>0</v>
      </c>
      <c r="E8" s="46">
        <f>-MIN(E6+E7,MAX(0,FCF_Returns!E17))</f>
        <v>0</v>
      </c>
      <c r="F8" s="46">
        <f>-MIN(F6+F7,MAX(0,FCF_Returns!F17))</f>
        <v>0</v>
      </c>
      <c r="G8" s="46">
        <f>-MIN(G6+G7,MAX(0,FCF_Returns!G17))</f>
        <v>0</v>
      </c>
      <c r="H8" s="46">
        <f>-MIN(H6+H7,MAX(0,FCF_Returns!H17))</f>
        <v>0</v>
      </c>
      <c r="I8" s="46">
        <f>-MIN(I6+I7,MAX(0,FCF_Returns!I17))</f>
        <v>0</v>
      </c>
    </row>
    <row r="9" spans="1:9" ht="15" customHeight="1" x14ac:dyDescent="0.35">
      <c r="B9" s="15" t="s">
        <v>252</v>
      </c>
      <c r="C9" s="51">
        <f>C6</f>
        <v>3400</v>
      </c>
      <c r="D9" s="51">
        <f t="shared" ref="D9:I9" si="1">SUM(D6:D8)</f>
        <v>3366</v>
      </c>
      <c r="E9" s="51">
        <f t="shared" si="1"/>
        <v>3332</v>
      </c>
      <c r="F9" s="51">
        <f t="shared" si="1"/>
        <v>3298</v>
      </c>
      <c r="G9" s="51">
        <f t="shared" si="1"/>
        <v>3264</v>
      </c>
      <c r="H9" s="51">
        <f t="shared" si="1"/>
        <v>3230</v>
      </c>
      <c r="I9" s="51">
        <f t="shared" si="1"/>
        <v>3196</v>
      </c>
    </row>
    <row r="10" spans="1:9" ht="15" customHeight="1" x14ac:dyDescent="0.35">
      <c r="B10" s="48" t="s">
        <v>253</v>
      </c>
      <c r="C10" s="49"/>
      <c r="D10" s="57">
        <f t="shared" ref="D10:I10" si="2">AVERAGE(D6,D9)</f>
        <v>3383</v>
      </c>
      <c r="E10" s="57">
        <f t="shared" si="2"/>
        <v>3349</v>
      </c>
      <c r="F10" s="57">
        <f t="shared" si="2"/>
        <v>3315</v>
      </c>
      <c r="G10" s="57">
        <f t="shared" si="2"/>
        <v>3281</v>
      </c>
      <c r="H10" s="57">
        <f t="shared" si="2"/>
        <v>3247</v>
      </c>
      <c r="I10" s="57">
        <f t="shared" si="2"/>
        <v>3213</v>
      </c>
    </row>
    <row r="11" spans="1:9" ht="15" customHeight="1" x14ac:dyDescent="0.35">
      <c r="B11" s="16" t="s">
        <v>254</v>
      </c>
      <c r="C11" s="58"/>
      <c r="D11" s="47">
        <f>D6*Assumptions!C15</f>
        <v>374</v>
      </c>
      <c r="E11" s="47">
        <f>E6*Assumptions!C15</f>
        <v>370.26</v>
      </c>
      <c r="F11" s="47">
        <f>F6*Assumptions!C15</f>
        <v>366.52</v>
      </c>
      <c r="G11" s="47">
        <f>G6*Assumptions!C15</f>
        <v>362.78000000000003</v>
      </c>
      <c r="H11" s="47">
        <f>H6*Assumptions!C15</f>
        <v>359.04</v>
      </c>
      <c r="I11" s="47">
        <f>I6*Assumptions!C15</f>
        <v>355.3</v>
      </c>
    </row>
    <row r="13" spans="1:9" ht="15" customHeight="1" x14ac:dyDescent="0.35">
      <c r="A13" t="s">
        <v>434</v>
      </c>
      <c r="B13" s="4" t="s">
        <v>255</v>
      </c>
      <c r="C13" s="4"/>
      <c r="D13" s="4"/>
      <c r="E13" s="4"/>
      <c r="F13" s="4"/>
      <c r="G13" s="4"/>
      <c r="H13" s="4"/>
      <c r="I13" s="4"/>
    </row>
    <row r="14" spans="1:9" ht="15" customHeight="1" x14ac:dyDescent="0.35">
      <c r="B14" s="16" t="s">
        <v>249</v>
      </c>
      <c r="C14" s="46">
        <f>Assumptions!C17</f>
        <v>850</v>
      </c>
      <c r="D14" s="47">
        <f t="shared" ref="D14:I14" si="3">C17</f>
        <v>850</v>
      </c>
      <c r="E14" s="47">
        <f t="shared" si="3"/>
        <v>888.25</v>
      </c>
      <c r="F14" s="47">
        <f t="shared" si="3"/>
        <v>928.22125000000005</v>
      </c>
      <c r="G14" s="47">
        <f t="shared" si="3"/>
        <v>969.99120625</v>
      </c>
      <c r="H14" s="47">
        <f t="shared" si="3"/>
        <v>1013.6408105312501</v>
      </c>
      <c r="I14" s="47">
        <f t="shared" si="3"/>
        <v>1059.2546470051564</v>
      </c>
    </row>
    <row r="15" spans="1:9" ht="15" customHeight="1" x14ac:dyDescent="0.35">
      <c r="B15" s="16" t="s">
        <v>256</v>
      </c>
      <c r="C15" s="47">
        <v>0</v>
      </c>
      <c r="D15" s="47">
        <f t="shared" ref="D15:I15" si="4">D14*0.045</f>
        <v>38.25</v>
      </c>
      <c r="E15" s="47">
        <f t="shared" si="4"/>
        <v>39.971249999999998</v>
      </c>
      <c r="F15" s="47">
        <f t="shared" si="4"/>
        <v>41.76995625</v>
      </c>
      <c r="G15" s="47">
        <f t="shared" si="4"/>
        <v>43.649604281249999</v>
      </c>
      <c r="H15" s="47">
        <f t="shared" si="4"/>
        <v>45.613836473906254</v>
      </c>
      <c r="I15" s="47">
        <f t="shared" si="4"/>
        <v>47.666459115232037</v>
      </c>
    </row>
    <row r="16" spans="1:9" ht="15" customHeight="1" x14ac:dyDescent="0.35">
      <c r="B16" s="16" t="s">
        <v>257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</row>
    <row r="17" spans="1:9" ht="15" customHeight="1" x14ac:dyDescent="0.35">
      <c r="B17" s="15" t="s">
        <v>252</v>
      </c>
      <c r="C17" s="51">
        <f>C14</f>
        <v>850</v>
      </c>
      <c r="D17" s="51">
        <f t="shared" ref="D17:I17" si="5">D14+D15+D16</f>
        <v>888.25</v>
      </c>
      <c r="E17" s="51">
        <f t="shared" si="5"/>
        <v>928.22125000000005</v>
      </c>
      <c r="F17" s="51">
        <f t="shared" si="5"/>
        <v>969.99120625</v>
      </c>
      <c r="G17" s="51">
        <f t="shared" si="5"/>
        <v>1013.6408105312501</v>
      </c>
      <c r="H17" s="51">
        <f t="shared" si="5"/>
        <v>1059.2546470051564</v>
      </c>
      <c r="I17" s="51">
        <f t="shared" si="5"/>
        <v>1106.9211061203885</v>
      </c>
    </row>
    <row r="18" spans="1:9" ht="15" customHeight="1" x14ac:dyDescent="0.35">
      <c r="B18" s="16" t="s">
        <v>258</v>
      </c>
      <c r="C18" s="58"/>
      <c r="D18" s="47">
        <f t="shared" ref="D18:I18" si="6">D14*0.1</f>
        <v>85</v>
      </c>
      <c r="E18" s="47">
        <f t="shared" si="6"/>
        <v>88.825000000000003</v>
      </c>
      <c r="F18" s="47">
        <f t="shared" si="6"/>
        <v>92.822125000000014</v>
      </c>
      <c r="G18" s="47">
        <f t="shared" si="6"/>
        <v>96.999120625000003</v>
      </c>
      <c r="H18" s="47">
        <f t="shared" si="6"/>
        <v>101.36408105312501</v>
      </c>
      <c r="I18" s="47">
        <f t="shared" si="6"/>
        <v>105.92546470051565</v>
      </c>
    </row>
    <row r="19" spans="1:9" ht="15" customHeight="1" x14ac:dyDescent="0.35">
      <c r="B19" s="16" t="s">
        <v>259</v>
      </c>
      <c r="C19" s="58"/>
      <c r="D19" s="47">
        <f t="shared" ref="D19:I19" si="7">D15+D18</f>
        <v>123.25</v>
      </c>
      <c r="E19" s="47">
        <f t="shared" si="7"/>
        <v>128.79624999999999</v>
      </c>
      <c r="F19" s="47">
        <f t="shared" si="7"/>
        <v>134.59208125000001</v>
      </c>
      <c r="G19" s="47">
        <f t="shared" si="7"/>
        <v>140.64872490625001</v>
      </c>
      <c r="H19" s="47">
        <f t="shared" si="7"/>
        <v>146.97791752703125</v>
      </c>
      <c r="I19" s="47">
        <f t="shared" si="7"/>
        <v>153.59192381574769</v>
      </c>
    </row>
    <row r="21" spans="1:9" ht="15" customHeight="1" x14ac:dyDescent="0.35">
      <c r="A21" t="s">
        <v>434</v>
      </c>
      <c r="B21" s="2" t="s">
        <v>260</v>
      </c>
      <c r="C21" s="2"/>
      <c r="D21" s="2"/>
      <c r="E21" s="2"/>
      <c r="F21" s="2"/>
      <c r="G21" s="2"/>
      <c r="H21" s="2"/>
      <c r="I21" s="2"/>
    </row>
    <row r="22" spans="1:9" ht="15" customHeight="1" x14ac:dyDescent="0.35">
      <c r="B22" s="55" t="s">
        <v>261</v>
      </c>
      <c r="C22" s="56">
        <f t="shared" ref="C22:I22" si="8">C9+C17</f>
        <v>4250</v>
      </c>
      <c r="D22" s="56">
        <f t="shared" si="8"/>
        <v>4254.25</v>
      </c>
      <c r="E22" s="56">
        <f t="shared" si="8"/>
        <v>4260.2212500000005</v>
      </c>
      <c r="F22" s="56">
        <f t="shared" si="8"/>
        <v>4267.9912062499998</v>
      </c>
      <c r="G22" s="56">
        <f t="shared" si="8"/>
        <v>4277.6408105312503</v>
      </c>
      <c r="H22" s="56">
        <f t="shared" si="8"/>
        <v>4289.2546470051566</v>
      </c>
      <c r="I22" s="56">
        <f t="shared" si="8"/>
        <v>4302.9211061203887</v>
      </c>
    </row>
    <row r="23" spans="1:9" ht="15" customHeight="1" x14ac:dyDescent="0.35">
      <c r="B23" s="55" t="s">
        <v>262</v>
      </c>
      <c r="C23" s="56">
        <v>0</v>
      </c>
      <c r="D23" s="56">
        <f t="shared" ref="D23:I23" si="9">D11+D19</f>
        <v>497.25</v>
      </c>
      <c r="E23" s="56">
        <f t="shared" si="9"/>
        <v>499.05624999999998</v>
      </c>
      <c r="F23" s="56">
        <f t="shared" si="9"/>
        <v>501.11208124999996</v>
      </c>
      <c r="G23" s="56">
        <f t="shared" si="9"/>
        <v>503.42872490625007</v>
      </c>
      <c r="H23" s="56">
        <f t="shared" si="9"/>
        <v>506.01791752703127</v>
      </c>
      <c r="I23" s="56">
        <f t="shared" si="9"/>
        <v>508.8919238157477</v>
      </c>
    </row>
    <row r="25" spans="1:9" ht="15" customHeight="1" x14ac:dyDescent="0.35">
      <c r="B25" s="16" t="s">
        <v>263</v>
      </c>
      <c r="C25" s="59">
        <f>IFERROR(C22/Operating_Model!C20,0)</f>
        <v>11.243386243386244</v>
      </c>
      <c r="D25" s="59">
        <f>IFERROR(D22/Operating_Model!D20,0)</f>
        <v>9.79657301287941</v>
      </c>
      <c r="E25" s="59">
        <f>IFERROR(E22/Operating_Model!E20,0)</f>
        <v>9.7390147047598461</v>
      </c>
      <c r="F25" s="59">
        <f>IFERROR(F22/Operating_Model!F20,0)</f>
        <v>6.5296658210173071</v>
      </c>
      <c r="G25" s="59">
        <f>IFERROR(G22/Operating_Model!G20,0)</f>
        <v>4.5503989260596178</v>
      </c>
      <c r="H25" s="59">
        <f>IFERROR(H22/Operating_Model!H20,0)</f>
        <v>4.0899426482993775</v>
      </c>
      <c r="I25" s="59">
        <f>IFERROR(I22/Operating_Model!I20,0)</f>
        <v>3.7698982641087562</v>
      </c>
    </row>
    <row r="26" spans="1:9" ht="15" customHeight="1" x14ac:dyDescent="0.35">
      <c r="B26" s="16" t="s">
        <v>264</v>
      </c>
      <c r="C26" s="59">
        <f>IFERROR(C9/Operating_Model!C20,0)</f>
        <v>8.9947089947089953</v>
      </c>
      <c r="D26" s="59">
        <f>IFERROR(D9/Operating_Model!D20,0)</f>
        <v>7.7511346915089838</v>
      </c>
      <c r="E26" s="59">
        <f>IFERROR(E9/Operating_Model!E20,0)</f>
        <v>7.6170684788401068</v>
      </c>
      <c r="F26" s="59">
        <f>IFERROR(F9/Operating_Model!F20,0)</f>
        <v>5.0456612577316697</v>
      </c>
      <c r="G26" s="59">
        <f>IFERROR(G9/Operating_Model!G20,0)</f>
        <v>3.4721246482623735</v>
      </c>
      <c r="H26" s="59">
        <f>IFERROR(H9/Operating_Model!H20,0)</f>
        <v>3.0799091779805692</v>
      </c>
      <c r="I26" s="59">
        <f>IFERROR(I9/Operating_Model!I20,0)</f>
        <v>2.8000966215610843</v>
      </c>
    </row>
    <row r="27" spans="1:9" ht="15" customHeight="1" x14ac:dyDescent="0.35">
      <c r="B27" s="16" t="s">
        <v>265</v>
      </c>
      <c r="C27" s="58"/>
      <c r="D27" s="59">
        <f>IFERROR(Operating_Model!D20/D23,0)</f>
        <v>0.87332126696832579</v>
      </c>
      <c r="E27" s="59">
        <f>IFERROR(Operating_Model!E20/E23,0)</f>
        <v>0.87653171360943771</v>
      </c>
      <c r="F27" s="59">
        <f>IFERROR(Operating_Model!F20/F23,0)</f>
        <v>1.3043606467629942</v>
      </c>
      <c r="G27" s="59">
        <f>IFERROR(Operating_Model!G20/G23,0)</f>
        <v>1.8673118365247441</v>
      </c>
      <c r="H27" s="59">
        <f>IFERROR(Operating_Model!H20/H23,0)</f>
        <v>2.0725199386118129</v>
      </c>
      <c r="I27" s="59">
        <f>IFERROR(Operating_Model!I20/I23,0)</f>
        <v>2.2428911352222953</v>
      </c>
    </row>
  </sheetData>
  <mergeCells count="4">
    <mergeCell ref="B2:I2"/>
    <mergeCell ref="B5:I5"/>
    <mergeCell ref="B13:I13"/>
    <mergeCell ref="B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8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38" customWidth="1"/>
    <col min="3" max="9" width="13" customWidth="1"/>
  </cols>
  <sheetData>
    <row r="2" spans="1:9" ht="24" customHeight="1" x14ac:dyDescent="0.35">
      <c r="B2" s="9" t="s">
        <v>266</v>
      </c>
      <c r="C2" s="9"/>
      <c r="D2" s="9"/>
      <c r="E2" s="9"/>
      <c r="F2" s="9"/>
      <c r="G2" s="9"/>
      <c r="H2" s="9"/>
      <c r="I2" s="9"/>
    </row>
    <row r="4" spans="1:9" ht="19.5" customHeight="1" x14ac:dyDescent="0.35">
      <c r="B4" s="45" t="s">
        <v>56</v>
      </c>
      <c r="C4" s="21" t="s">
        <v>204</v>
      </c>
      <c r="D4" s="21" t="s">
        <v>205</v>
      </c>
      <c r="E4" s="21" t="s">
        <v>206</v>
      </c>
      <c r="F4" s="21" t="s">
        <v>207</v>
      </c>
      <c r="G4" s="21" t="s">
        <v>208</v>
      </c>
      <c r="H4" s="21" t="s">
        <v>209</v>
      </c>
      <c r="I4" s="21" t="s">
        <v>210</v>
      </c>
    </row>
    <row r="5" spans="1:9" ht="15" customHeight="1" x14ac:dyDescent="0.35">
      <c r="A5" t="s">
        <v>434</v>
      </c>
      <c r="B5" s="4" t="s">
        <v>267</v>
      </c>
      <c r="C5" s="4"/>
      <c r="D5" s="4"/>
      <c r="E5" s="4"/>
      <c r="F5" s="4"/>
      <c r="G5" s="4"/>
      <c r="H5" s="4"/>
      <c r="I5" s="4"/>
    </row>
    <row r="6" spans="1:9" ht="15" customHeight="1" x14ac:dyDescent="0.35">
      <c r="B6" s="16" t="s">
        <v>268</v>
      </c>
      <c r="C6" s="46">
        <f>Operating_Model!C20</f>
        <v>378</v>
      </c>
      <c r="D6" s="46">
        <f>Operating_Model!D20</f>
        <v>434.25900000000001</v>
      </c>
      <c r="E6" s="46">
        <f>Operating_Model!E20</f>
        <v>437.43862999999993</v>
      </c>
      <c r="F6" s="46">
        <f>Operating_Model!F20</f>
        <v>653.63087840000003</v>
      </c>
      <c r="G6" s="46">
        <f>Operating_Model!G20</f>
        <v>940.05841686400004</v>
      </c>
      <c r="H6" s="46">
        <f>Operating_Model!H20</f>
        <v>1048.7322233696002</v>
      </c>
      <c r="I6" s="46">
        <f>Operating_Model!I20</f>
        <v>1141.3891847125601</v>
      </c>
    </row>
    <row r="7" spans="1:9" ht="15" customHeight="1" x14ac:dyDescent="0.35">
      <c r="B7" s="16" t="s">
        <v>269</v>
      </c>
      <c r="C7" s="47">
        <v>0</v>
      </c>
      <c r="D7" s="46">
        <f>-(Debt_Schedule!D11+Debt_Schedule!D18)</f>
        <v>-459</v>
      </c>
      <c r="E7" s="46">
        <f>-(Debt_Schedule!E11+Debt_Schedule!E18)</f>
        <v>-459.08499999999998</v>
      </c>
      <c r="F7" s="46">
        <f>-(Debt_Schedule!F11+Debt_Schedule!F18)</f>
        <v>-459.34212500000001</v>
      </c>
      <c r="G7" s="46">
        <f>-(Debt_Schedule!G11+Debt_Schedule!G18)</f>
        <v>-459.77912062500002</v>
      </c>
      <c r="H7" s="46">
        <f>-(Debt_Schedule!H11+Debt_Schedule!H18)</f>
        <v>-460.40408105312503</v>
      </c>
      <c r="I7" s="46">
        <f>-(Debt_Schedule!I11+Debt_Schedule!I18)</f>
        <v>-461.22546470051566</v>
      </c>
    </row>
    <row r="8" spans="1:9" ht="15" customHeight="1" x14ac:dyDescent="0.35">
      <c r="B8" s="16" t="s">
        <v>270</v>
      </c>
      <c r="C8" s="47">
        <v>0</v>
      </c>
      <c r="D8" s="47">
        <f>-MAX(0,(Operating_Model!D23+Operating_Model!D24))*Assumptions!C49</f>
        <v>0</v>
      </c>
      <c r="E8" s="47">
        <f>-MAX(0,(Operating_Model!E23+Operating_Model!E24))*Assumptions!C49</f>
        <v>0</v>
      </c>
      <c r="F8" s="47">
        <f>-MAX(0,(Operating_Model!F23+Operating_Model!F24))*Assumptions!C49</f>
        <v>0</v>
      </c>
      <c r="G8" s="47">
        <f>-MAX(0,(Operating_Model!G23+Operating_Model!G24))*Assumptions!C49</f>
        <v>-43.623106218152998</v>
      </c>
      <c r="H8" s="47">
        <f>-MAX(0,(Operating_Model!H23+Operating_Model!H24))*Assumptions!C49</f>
        <v>-63.715671301607365</v>
      </c>
      <c r="I8" s="47">
        <f>-MAX(0,(Operating_Model!I23+Operating_Model!I24))*Assumptions!C49</f>
        <v>-79.933323935911901</v>
      </c>
    </row>
    <row r="9" spans="1:9" ht="15" customHeight="1" x14ac:dyDescent="0.35">
      <c r="B9" s="16" t="s">
        <v>271</v>
      </c>
      <c r="C9" s="46">
        <f>-Operating_Model!C32</f>
        <v>-84</v>
      </c>
      <c r="D9" s="46">
        <f>-Operating_Model!D32</f>
        <v>-344.92</v>
      </c>
      <c r="E9" s="46">
        <f>-Operating_Model!E32</f>
        <v>-308.69959999999998</v>
      </c>
      <c r="F9" s="46">
        <f>-Operating_Model!F32</f>
        <v>-274.09075200000001</v>
      </c>
      <c r="G9" s="46">
        <f>-Operating_Model!G32</f>
        <v>-240.54513472000002</v>
      </c>
      <c r="H9" s="46">
        <f>-Operating_Model!H32</f>
        <v>-254.59964819200002</v>
      </c>
      <c r="I9" s="46">
        <f>-Operating_Model!I32</f>
        <v>-268.16081652928005</v>
      </c>
    </row>
    <row r="10" spans="1:9" ht="15" customHeight="1" x14ac:dyDescent="0.35">
      <c r="B10" s="16" t="s">
        <v>272</v>
      </c>
      <c r="C10" s="46">
        <f>Operating_Model!C34</f>
        <v>0</v>
      </c>
      <c r="D10" s="46">
        <f>Operating_Model!D34</f>
        <v>-21.840000000000003</v>
      </c>
      <c r="E10" s="46">
        <f>Operating_Model!E34</f>
        <v>-27.559199999999976</v>
      </c>
      <c r="F10" s="46">
        <f>Operating_Model!F34</f>
        <v>-30.782304000000011</v>
      </c>
      <c r="G10" s="46">
        <f>Operating_Model!G34</f>
        <v>-32.908765440000053</v>
      </c>
      <c r="H10" s="46">
        <f>Operating_Model!H34</f>
        <v>-28.109026943999993</v>
      </c>
      <c r="I10" s="46">
        <f>Operating_Model!I34</f>
        <v>-27.122336674560017</v>
      </c>
    </row>
    <row r="11" spans="1:9" ht="15" customHeight="1" x14ac:dyDescent="0.35">
      <c r="B11" s="16" t="s">
        <v>273</v>
      </c>
      <c r="C11" s="46">
        <f>Debt_Schedule!C7</f>
        <v>0</v>
      </c>
      <c r="D11" s="46">
        <f>Debt_Schedule!D7</f>
        <v>-34</v>
      </c>
      <c r="E11" s="46">
        <f>Debt_Schedule!E7</f>
        <v>-34</v>
      </c>
      <c r="F11" s="46">
        <f>Debt_Schedule!F7</f>
        <v>-34</v>
      </c>
      <c r="G11" s="46">
        <f>Debt_Schedule!G7</f>
        <v>-34</v>
      </c>
      <c r="H11" s="46">
        <f>Debt_Schedule!H7</f>
        <v>-34</v>
      </c>
      <c r="I11" s="46">
        <f>Debt_Schedule!I7</f>
        <v>-34</v>
      </c>
    </row>
    <row r="12" spans="1:9" ht="15" customHeight="1" x14ac:dyDescent="0.35">
      <c r="B12" s="55" t="s">
        <v>274</v>
      </c>
      <c r="C12" s="56">
        <f t="shared" ref="C12:I12" si="0">SUM(C6:C11)</f>
        <v>294</v>
      </c>
      <c r="D12" s="56">
        <f t="shared" si="0"/>
        <v>-425.50099999999998</v>
      </c>
      <c r="E12" s="56">
        <f t="shared" si="0"/>
        <v>-391.90517</v>
      </c>
      <c r="F12" s="56">
        <f t="shared" si="0"/>
        <v>-144.5843026</v>
      </c>
      <c r="G12" s="56">
        <f t="shared" si="0"/>
        <v>129.20228986084695</v>
      </c>
      <c r="H12" s="56">
        <f t="shared" si="0"/>
        <v>207.90379587886775</v>
      </c>
      <c r="I12" s="56">
        <f t="shared" si="0"/>
        <v>270.94724287229252</v>
      </c>
    </row>
    <row r="14" spans="1:9" ht="15" customHeight="1" x14ac:dyDescent="0.35">
      <c r="A14" t="s">
        <v>434</v>
      </c>
      <c r="B14" s="4" t="s">
        <v>275</v>
      </c>
      <c r="C14" s="4"/>
      <c r="D14" s="4"/>
      <c r="E14" s="4"/>
      <c r="F14" s="4"/>
      <c r="G14" s="4"/>
      <c r="H14" s="4"/>
      <c r="I14" s="4"/>
    </row>
    <row r="15" spans="1:9" ht="15" customHeight="1" x14ac:dyDescent="0.35">
      <c r="B15" s="16" t="s">
        <v>276</v>
      </c>
      <c r="C15" s="46">
        <f>Assumptions!C10</f>
        <v>200</v>
      </c>
      <c r="D15" s="47">
        <f t="shared" ref="D15:I15" si="1">C19</f>
        <v>494</v>
      </c>
      <c r="E15" s="47">
        <f t="shared" si="1"/>
        <v>68.499000000000024</v>
      </c>
      <c r="F15" s="47">
        <f t="shared" si="1"/>
        <v>-323.40616999999997</v>
      </c>
      <c r="G15" s="47">
        <f t="shared" si="1"/>
        <v>-467.99047259999998</v>
      </c>
      <c r="H15" s="47">
        <f t="shared" si="1"/>
        <v>-338.78818273915306</v>
      </c>
      <c r="I15" s="47">
        <f t="shared" si="1"/>
        <v>-130.8843868602853</v>
      </c>
    </row>
    <row r="16" spans="1:9" ht="15" customHeight="1" x14ac:dyDescent="0.35">
      <c r="B16" s="16" t="s">
        <v>277</v>
      </c>
      <c r="C16" s="47">
        <f t="shared" ref="C16:I16" si="2">C12</f>
        <v>294</v>
      </c>
      <c r="D16" s="47">
        <f t="shared" si="2"/>
        <v>-425.50099999999998</v>
      </c>
      <c r="E16" s="47">
        <f t="shared" si="2"/>
        <v>-391.90517</v>
      </c>
      <c r="F16" s="47">
        <f t="shared" si="2"/>
        <v>-144.5843026</v>
      </c>
      <c r="G16" s="47">
        <f t="shared" si="2"/>
        <v>129.20228986084695</v>
      </c>
      <c r="H16" s="47">
        <f t="shared" si="2"/>
        <v>207.90379587886775</v>
      </c>
      <c r="I16" s="47">
        <f t="shared" si="2"/>
        <v>270.94724287229252</v>
      </c>
    </row>
    <row r="17" spans="1:9" ht="15" customHeight="1" x14ac:dyDescent="0.35">
      <c r="B17" s="60" t="s">
        <v>278</v>
      </c>
      <c r="C17" s="61">
        <v>0</v>
      </c>
      <c r="D17" s="61">
        <f>MAX(0,D15+D16-Assumptions!C22)*Assumptions!C21</f>
        <v>0</v>
      </c>
      <c r="E17" s="61">
        <f>MAX(0,E15+E16-Assumptions!C22)*Assumptions!C21</f>
        <v>0</v>
      </c>
      <c r="F17" s="61">
        <f>MAX(0,F15+F16-Assumptions!C22)*Assumptions!C21</f>
        <v>0</v>
      </c>
      <c r="G17" s="61">
        <f>MAX(0,G15+G16-Assumptions!C22)*Assumptions!C21</f>
        <v>0</v>
      </c>
      <c r="H17" s="61">
        <f>MAX(0,H15+H16-Assumptions!C22)*Assumptions!C21</f>
        <v>0</v>
      </c>
      <c r="I17" s="61">
        <f>MAX(0,I15+I16-Assumptions!C22)*Assumptions!C21</f>
        <v>0</v>
      </c>
    </row>
    <row r="18" spans="1:9" ht="15" customHeight="1" x14ac:dyDescent="0.35">
      <c r="B18" s="16" t="s">
        <v>279</v>
      </c>
      <c r="C18" s="47">
        <v>0</v>
      </c>
      <c r="D18" s="46">
        <f>Debt_Schedule!D8</f>
        <v>0</v>
      </c>
      <c r="E18" s="46">
        <f>Debt_Schedule!E8</f>
        <v>0</v>
      </c>
      <c r="F18" s="46">
        <f>Debt_Schedule!F8</f>
        <v>0</v>
      </c>
      <c r="G18" s="46">
        <f>Debt_Schedule!G8</f>
        <v>0</v>
      </c>
      <c r="H18" s="46">
        <f>Debt_Schedule!H8</f>
        <v>0</v>
      </c>
      <c r="I18" s="46">
        <f>Debt_Schedule!I8</f>
        <v>0</v>
      </c>
    </row>
    <row r="19" spans="1:9" ht="15" customHeight="1" x14ac:dyDescent="0.35">
      <c r="B19" s="55" t="s">
        <v>280</v>
      </c>
      <c r="C19" s="56">
        <f t="shared" ref="C19:I19" si="3">C15+C16+C18</f>
        <v>494</v>
      </c>
      <c r="D19" s="56">
        <f t="shared" si="3"/>
        <v>68.499000000000024</v>
      </c>
      <c r="E19" s="56">
        <f t="shared" si="3"/>
        <v>-323.40616999999997</v>
      </c>
      <c r="F19" s="56">
        <f t="shared" si="3"/>
        <v>-467.99047259999998</v>
      </c>
      <c r="G19" s="56">
        <f t="shared" si="3"/>
        <v>-338.78818273915306</v>
      </c>
      <c r="H19" s="56">
        <f t="shared" si="3"/>
        <v>-130.8843868602853</v>
      </c>
      <c r="I19" s="56">
        <f t="shared" si="3"/>
        <v>140.06285601200722</v>
      </c>
    </row>
    <row r="21" spans="1:9" ht="15" customHeight="1" x14ac:dyDescent="0.35">
      <c r="A21" t="s">
        <v>434</v>
      </c>
      <c r="B21" s="2" t="s">
        <v>281</v>
      </c>
      <c r="C21" s="2"/>
      <c r="D21" s="2"/>
      <c r="E21" s="2"/>
      <c r="F21" s="2"/>
      <c r="G21" s="2"/>
      <c r="H21" s="2"/>
      <c r="I21" s="2"/>
    </row>
    <row r="22" spans="1:9" ht="15" customHeight="1" x14ac:dyDescent="0.35">
      <c r="B22" s="30" t="s">
        <v>282</v>
      </c>
      <c r="C22" s="30" t="s">
        <v>283</v>
      </c>
      <c r="D22" s="87" t="s">
        <v>284</v>
      </c>
      <c r="E22" s="87"/>
      <c r="F22" s="87"/>
      <c r="G22" s="87"/>
      <c r="H22" s="87"/>
      <c r="I22" s="87"/>
    </row>
    <row r="23" spans="1:9" ht="15" customHeight="1" x14ac:dyDescent="0.35">
      <c r="B23" s="22" t="s">
        <v>285</v>
      </c>
      <c r="C23" s="34">
        <f>Operating_Model!I20</f>
        <v>1141.3891847125601</v>
      </c>
      <c r="D23" s="6" t="s">
        <v>286</v>
      </c>
      <c r="E23" s="6"/>
      <c r="F23" s="6"/>
      <c r="G23" s="6"/>
      <c r="H23" s="6"/>
      <c r="I23" s="6"/>
    </row>
    <row r="24" spans="1:9" ht="15" customHeight="1" x14ac:dyDescent="0.35">
      <c r="B24" s="22" t="s">
        <v>287</v>
      </c>
      <c r="C24" s="33">
        <f>Assumptions!C63</f>
        <v>18</v>
      </c>
      <c r="D24" s="6" t="s">
        <v>288</v>
      </c>
      <c r="E24" s="6"/>
      <c r="F24" s="6"/>
      <c r="G24" s="6"/>
      <c r="H24" s="6"/>
      <c r="I24" s="6"/>
    </row>
    <row r="25" spans="1:9" ht="15" customHeight="1" x14ac:dyDescent="0.35">
      <c r="B25" s="62" t="s">
        <v>289</v>
      </c>
      <c r="C25" s="63">
        <f>C23*C24</f>
        <v>20545.005324826081</v>
      </c>
      <c r="D25" s="88" t="s">
        <v>290</v>
      </c>
      <c r="E25" s="88"/>
      <c r="F25" s="88"/>
      <c r="G25" s="88"/>
      <c r="H25" s="88"/>
      <c r="I25" s="88"/>
    </row>
    <row r="26" spans="1:9" ht="15" customHeight="1" x14ac:dyDescent="0.35">
      <c r="B26" s="22" t="s">
        <v>291</v>
      </c>
      <c r="C26" s="34">
        <f>-Debt_Schedule!I22</f>
        <v>-4302.9211061203887</v>
      </c>
      <c r="D26" s="6" t="s">
        <v>292</v>
      </c>
      <c r="E26" s="6"/>
      <c r="F26" s="6"/>
      <c r="G26" s="6"/>
      <c r="H26" s="6"/>
      <c r="I26" s="6"/>
    </row>
    <row r="27" spans="1:9" ht="15" customHeight="1" x14ac:dyDescent="0.35">
      <c r="B27" s="22" t="s">
        <v>293</v>
      </c>
      <c r="C27" s="34">
        <f>FCF_Returns!I19</f>
        <v>140.06285601200722</v>
      </c>
      <c r="D27" s="6" t="s">
        <v>294</v>
      </c>
      <c r="E27" s="6"/>
      <c r="F27" s="6"/>
      <c r="G27" s="6"/>
      <c r="H27" s="6"/>
      <c r="I27" s="6"/>
    </row>
    <row r="28" spans="1:9" ht="15" customHeight="1" x14ac:dyDescent="0.35">
      <c r="B28" s="62" t="s">
        <v>295</v>
      </c>
      <c r="C28" s="63">
        <f>C25+C26+C27</f>
        <v>16382.147074717699</v>
      </c>
      <c r="D28" s="88" t="s">
        <v>296</v>
      </c>
      <c r="E28" s="88"/>
      <c r="F28" s="88"/>
      <c r="G28" s="88"/>
      <c r="H28" s="88"/>
      <c r="I28" s="88"/>
    </row>
    <row r="29" spans="1:9" ht="15" customHeight="1" x14ac:dyDescent="0.35">
      <c r="B29" s="22" t="s">
        <v>297</v>
      </c>
      <c r="C29" s="34">
        <f>-C28*Assumptions!C20/(Assumptions!C19+Assumptions!C20)</f>
        <v>-1638.21470747177</v>
      </c>
      <c r="D29" s="6" t="s">
        <v>298</v>
      </c>
      <c r="E29" s="6"/>
      <c r="F29" s="6"/>
      <c r="G29" s="6"/>
      <c r="H29" s="6"/>
      <c r="I29" s="6"/>
    </row>
    <row r="30" spans="1:9" ht="15" customHeight="1" x14ac:dyDescent="0.35">
      <c r="B30" s="62" t="s">
        <v>299</v>
      </c>
      <c r="C30" s="63">
        <f>C28+C29</f>
        <v>14743.932367245929</v>
      </c>
      <c r="D30" s="88" t="s">
        <v>300</v>
      </c>
      <c r="E30" s="88"/>
      <c r="F30" s="88"/>
      <c r="G30" s="88"/>
      <c r="H30" s="88"/>
      <c r="I30" s="88"/>
    </row>
    <row r="32" spans="1:9" ht="15" customHeight="1" x14ac:dyDescent="0.35">
      <c r="A32" t="s">
        <v>434</v>
      </c>
      <c r="B32" s="4" t="s">
        <v>301</v>
      </c>
      <c r="C32" s="4"/>
      <c r="D32" s="4"/>
      <c r="E32" s="4"/>
      <c r="F32" s="4"/>
      <c r="G32" s="4"/>
      <c r="H32" s="4"/>
      <c r="I32" s="4"/>
    </row>
    <row r="33" spans="2:9" ht="15" customHeight="1" x14ac:dyDescent="0.35">
      <c r="B33" s="30" t="s">
        <v>302</v>
      </c>
      <c r="C33" s="30" t="s">
        <v>57</v>
      </c>
      <c r="D33" s="87" t="s">
        <v>284</v>
      </c>
      <c r="E33" s="87"/>
      <c r="F33" s="87"/>
      <c r="G33" s="87"/>
      <c r="H33" s="87"/>
      <c r="I33" s="87"/>
    </row>
    <row r="34" spans="2:9" ht="15" customHeight="1" x14ac:dyDescent="0.35">
      <c r="B34" s="22" t="s">
        <v>303</v>
      </c>
      <c r="C34" s="34">
        <f>-Assumptions!C19</f>
        <v>-3825</v>
      </c>
      <c r="D34" s="6" t="s">
        <v>304</v>
      </c>
      <c r="E34" s="6"/>
      <c r="F34" s="6"/>
      <c r="G34" s="6"/>
      <c r="H34" s="6"/>
      <c r="I34" s="6"/>
    </row>
    <row r="35" spans="2:9" ht="15" customHeight="1" x14ac:dyDescent="0.35">
      <c r="B35" s="22" t="s">
        <v>305</v>
      </c>
      <c r="C35" s="34">
        <f>C30</f>
        <v>14743.932367245929</v>
      </c>
      <c r="D35" s="6" t="s">
        <v>306</v>
      </c>
      <c r="E35" s="6"/>
      <c r="F35" s="6"/>
      <c r="G35" s="6"/>
      <c r="H35" s="6"/>
      <c r="I35" s="6"/>
    </row>
    <row r="36" spans="2:9" ht="15" customHeight="1" x14ac:dyDescent="0.35">
      <c r="B36" s="22" t="s">
        <v>307</v>
      </c>
      <c r="C36" s="34">
        <f>Assumptions!C66</f>
        <v>5</v>
      </c>
      <c r="D36" s="6" t="s">
        <v>308</v>
      </c>
      <c r="E36" s="6"/>
      <c r="F36" s="6"/>
      <c r="G36" s="6"/>
      <c r="H36" s="6"/>
      <c r="I36" s="6"/>
    </row>
    <row r="37" spans="2:9" ht="15" customHeight="1" x14ac:dyDescent="0.35">
      <c r="B37" s="64" t="s">
        <v>309</v>
      </c>
      <c r="C37" s="65">
        <f>C35/-C34</f>
        <v>3.8546228411100465</v>
      </c>
      <c r="D37" s="89" t="s">
        <v>310</v>
      </c>
      <c r="E37" s="89"/>
      <c r="F37" s="89"/>
      <c r="G37" s="89"/>
      <c r="H37" s="89"/>
      <c r="I37" s="89"/>
    </row>
    <row r="38" spans="2:9" ht="15" customHeight="1" x14ac:dyDescent="0.35">
      <c r="B38" s="64" t="s">
        <v>311</v>
      </c>
      <c r="C38" s="66">
        <f>(C35/-C34)^(1/C36)-1</f>
        <v>0.30977403921758806</v>
      </c>
      <c r="D38" s="89" t="s">
        <v>312</v>
      </c>
      <c r="E38" s="89"/>
      <c r="F38" s="89"/>
      <c r="G38" s="89"/>
      <c r="H38" s="89"/>
      <c r="I38" s="89"/>
    </row>
  </sheetData>
  <mergeCells count="20">
    <mergeCell ref="D34:I34"/>
    <mergeCell ref="D35:I35"/>
    <mergeCell ref="D36:I36"/>
    <mergeCell ref="D37:I37"/>
    <mergeCell ref="D38:I38"/>
    <mergeCell ref="D28:I28"/>
    <mergeCell ref="D29:I29"/>
    <mergeCell ref="D30:I30"/>
    <mergeCell ref="B32:I32"/>
    <mergeCell ref="D33:I33"/>
    <mergeCell ref="D23:I23"/>
    <mergeCell ref="D24:I24"/>
    <mergeCell ref="D25:I25"/>
    <mergeCell ref="D26:I26"/>
    <mergeCell ref="D27:I27"/>
    <mergeCell ref="B2:I2"/>
    <mergeCell ref="B5:I5"/>
    <mergeCell ref="B14:I14"/>
    <mergeCell ref="B21:I21"/>
    <mergeCell ref="D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26"/>
  <sheetViews>
    <sheetView showGridLines="0" zoomScaleNormal="100" workbookViewId="0">
      <selection activeCell="A3" sqref="A1:A1048576"/>
    </sheetView>
  </sheetViews>
  <sheetFormatPr defaultColWidth="8.6328125" defaultRowHeight="14.5" x14ac:dyDescent="0.35"/>
  <cols>
    <col min="1" max="1" width="2" customWidth="1"/>
    <col min="2" max="2" width="28" customWidth="1"/>
    <col min="3" max="10" width="12" customWidth="1"/>
  </cols>
  <sheetData>
    <row r="2" spans="2:10" ht="24" customHeight="1" x14ac:dyDescent="0.35">
      <c r="B2" s="9" t="s">
        <v>313</v>
      </c>
      <c r="C2" s="9"/>
      <c r="D2" s="9"/>
      <c r="E2" s="9"/>
      <c r="F2" s="9"/>
      <c r="G2" s="9"/>
      <c r="H2" s="9"/>
      <c r="I2" s="9"/>
      <c r="J2" s="9"/>
    </row>
    <row r="3" spans="2:10" ht="15" customHeight="1" x14ac:dyDescent="0.35">
      <c r="B3" s="90" t="s">
        <v>314</v>
      </c>
      <c r="C3" s="90"/>
      <c r="D3" s="90"/>
      <c r="E3" s="90"/>
      <c r="F3" s="90"/>
      <c r="G3" s="90"/>
      <c r="H3" s="90"/>
      <c r="I3" s="90"/>
      <c r="J3" s="90"/>
    </row>
    <row r="5" spans="2:10" ht="30" customHeight="1" x14ac:dyDescent="0.35">
      <c r="B5" s="67" t="s">
        <v>315</v>
      </c>
      <c r="C5" s="67" t="s">
        <v>316</v>
      </c>
      <c r="D5" s="67" t="s">
        <v>317</v>
      </c>
      <c r="E5" s="67" t="s">
        <v>318</v>
      </c>
      <c r="F5" s="67" t="s">
        <v>319</v>
      </c>
      <c r="G5" s="67" t="s">
        <v>320</v>
      </c>
      <c r="H5" s="67" t="s">
        <v>321</v>
      </c>
      <c r="I5" s="67" t="s">
        <v>322</v>
      </c>
      <c r="J5" s="67" t="s">
        <v>323</v>
      </c>
    </row>
    <row r="6" spans="2:10" ht="15" customHeight="1" x14ac:dyDescent="0.35">
      <c r="B6" s="22" t="s">
        <v>324</v>
      </c>
      <c r="C6" s="34">
        <v>165000</v>
      </c>
      <c r="D6" s="34">
        <v>5500</v>
      </c>
      <c r="E6" s="34">
        <f t="shared" ref="E6:E14" si="0">C6+D6</f>
        <v>170500</v>
      </c>
      <c r="F6" s="34">
        <v>22500</v>
      </c>
      <c r="G6" s="34">
        <v>6100</v>
      </c>
      <c r="H6" s="32">
        <f t="shared" ref="H6:H14" si="1">G6/F6</f>
        <v>0.27111111111111114</v>
      </c>
      <c r="I6" s="33">
        <f t="shared" ref="I6:I14" si="2">E6/G6</f>
        <v>27.950819672131146</v>
      </c>
      <c r="J6" s="33">
        <f>E6/8800</f>
        <v>19.375</v>
      </c>
    </row>
    <row r="7" spans="2:10" ht="15" customHeight="1" x14ac:dyDescent="0.35">
      <c r="B7" s="68" t="s">
        <v>325</v>
      </c>
      <c r="C7" s="69">
        <v>95000</v>
      </c>
      <c r="D7" s="69">
        <v>-1200</v>
      </c>
      <c r="E7" s="69">
        <f t="shared" si="0"/>
        <v>93800</v>
      </c>
      <c r="F7" s="69">
        <v>13000</v>
      </c>
      <c r="G7" s="69">
        <v>3150</v>
      </c>
      <c r="H7" s="70">
        <f t="shared" si="1"/>
        <v>0.24230769230769231</v>
      </c>
      <c r="I7" s="71">
        <f t="shared" si="2"/>
        <v>29.777777777777779</v>
      </c>
      <c r="J7" s="71">
        <f>E7/4600</f>
        <v>20.391304347826086</v>
      </c>
    </row>
    <row r="8" spans="2:10" ht="15" customHeight="1" x14ac:dyDescent="0.35">
      <c r="B8" s="22" t="s">
        <v>326</v>
      </c>
      <c r="C8" s="34">
        <v>38500</v>
      </c>
      <c r="D8" s="34">
        <v>1100</v>
      </c>
      <c r="E8" s="34">
        <f t="shared" si="0"/>
        <v>39600</v>
      </c>
      <c r="F8" s="34">
        <v>8500</v>
      </c>
      <c r="G8" s="34">
        <v>1800</v>
      </c>
      <c r="H8" s="32">
        <f t="shared" si="1"/>
        <v>0.21176470588235294</v>
      </c>
      <c r="I8" s="33">
        <f t="shared" si="2"/>
        <v>22</v>
      </c>
      <c r="J8" s="33">
        <f>E8/2750</f>
        <v>14.4</v>
      </c>
    </row>
    <row r="9" spans="2:10" ht="15" customHeight="1" x14ac:dyDescent="0.35">
      <c r="B9" s="22" t="s">
        <v>327</v>
      </c>
      <c r="C9" s="34">
        <v>28500</v>
      </c>
      <c r="D9" s="34">
        <v>800</v>
      </c>
      <c r="E9" s="34">
        <f t="shared" si="0"/>
        <v>29300</v>
      </c>
      <c r="F9" s="34">
        <v>5640</v>
      </c>
      <c r="G9" s="34">
        <v>1395</v>
      </c>
      <c r="H9" s="32">
        <f t="shared" si="1"/>
        <v>0.2473404255319149</v>
      </c>
      <c r="I9" s="33">
        <f t="shared" si="2"/>
        <v>21.003584229390682</v>
      </c>
      <c r="J9" s="33">
        <f>E9/2150</f>
        <v>13.627906976744185</v>
      </c>
    </row>
    <row r="10" spans="2:10" ht="15" customHeight="1" x14ac:dyDescent="0.35">
      <c r="B10" s="22" t="s">
        <v>328</v>
      </c>
      <c r="C10" s="34">
        <v>25000</v>
      </c>
      <c r="D10" s="34">
        <v>1500</v>
      </c>
      <c r="E10" s="34">
        <f t="shared" si="0"/>
        <v>26500</v>
      </c>
      <c r="F10" s="34">
        <v>2800</v>
      </c>
      <c r="G10" s="34">
        <v>945</v>
      </c>
      <c r="H10" s="32">
        <f t="shared" si="1"/>
        <v>0.33750000000000002</v>
      </c>
      <c r="I10" s="33">
        <f t="shared" si="2"/>
        <v>28.042328042328041</v>
      </c>
      <c r="J10" s="33">
        <f>E10/1480</f>
        <v>17.905405405405407</v>
      </c>
    </row>
    <row r="11" spans="2:10" ht="15" customHeight="1" x14ac:dyDescent="0.35">
      <c r="B11" s="22" t="s">
        <v>329</v>
      </c>
      <c r="C11" s="34">
        <v>14500</v>
      </c>
      <c r="D11" s="34">
        <v>-300</v>
      </c>
      <c r="E11" s="34">
        <f t="shared" si="0"/>
        <v>14200</v>
      </c>
      <c r="F11" s="34">
        <v>1420</v>
      </c>
      <c r="G11" s="34">
        <v>473</v>
      </c>
      <c r="H11" s="32">
        <f t="shared" si="1"/>
        <v>0.33309859154929577</v>
      </c>
      <c r="I11" s="33">
        <f t="shared" si="2"/>
        <v>30.021141649048626</v>
      </c>
      <c r="J11" s="33">
        <f>E11/720</f>
        <v>19.722222222222221</v>
      </c>
    </row>
    <row r="12" spans="2:10" ht="15" customHeight="1" x14ac:dyDescent="0.35">
      <c r="B12" s="22" t="s">
        <v>330</v>
      </c>
      <c r="C12" s="34">
        <v>21000</v>
      </c>
      <c r="D12" s="34">
        <v>1800</v>
      </c>
      <c r="E12" s="34">
        <f t="shared" si="0"/>
        <v>22800</v>
      </c>
      <c r="F12" s="34">
        <v>4200</v>
      </c>
      <c r="G12" s="34">
        <v>1100</v>
      </c>
      <c r="H12" s="32">
        <f t="shared" si="1"/>
        <v>0.26190476190476192</v>
      </c>
      <c r="I12" s="33">
        <f t="shared" si="2"/>
        <v>20.727272727272727</v>
      </c>
      <c r="J12" s="33">
        <f>E12/1700</f>
        <v>13.411764705882353</v>
      </c>
    </row>
    <row r="13" spans="2:10" ht="15" customHeight="1" x14ac:dyDescent="0.35">
      <c r="B13" s="22" t="s">
        <v>331</v>
      </c>
      <c r="C13" s="34">
        <v>10500</v>
      </c>
      <c r="D13" s="34">
        <v>600</v>
      </c>
      <c r="E13" s="34">
        <f t="shared" si="0"/>
        <v>11100</v>
      </c>
      <c r="F13" s="34">
        <v>1180</v>
      </c>
      <c r="G13" s="34">
        <v>395</v>
      </c>
      <c r="H13" s="32">
        <f t="shared" si="1"/>
        <v>0.3347457627118644</v>
      </c>
      <c r="I13" s="33">
        <f t="shared" si="2"/>
        <v>28.101265822784811</v>
      </c>
      <c r="J13" s="33">
        <f>E13/620</f>
        <v>17.903225806451612</v>
      </c>
    </row>
    <row r="14" spans="2:10" ht="15" customHeight="1" x14ac:dyDescent="0.35">
      <c r="B14" s="72" t="s">
        <v>332</v>
      </c>
      <c r="C14" s="73">
        <v>6500</v>
      </c>
      <c r="D14" s="73">
        <v>600</v>
      </c>
      <c r="E14" s="73">
        <f t="shared" si="0"/>
        <v>7100</v>
      </c>
      <c r="F14" s="73">
        <v>2100</v>
      </c>
      <c r="G14" s="73">
        <v>380</v>
      </c>
      <c r="H14" s="74">
        <f t="shared" si="1"/>
        <v>0.18095238095238095</v>
      </c>
      <c r="I14" s="75">
        <f t="shared" si="2"/>
        <v>18.684210526315791</v>
      </c>
      <c r="J14" s="75">
        <f>E14/555</f>
        <v>12.792792792792794</v>
      </c>
    </row>
    <row r="16" spans="2:10" ht="15" customHeight="1" x14ac:dyDescent="0.35">
      <c r="B16" s="76" t="s">
        <v>333</v>
      </c>
      <c r="C16" s="77"/>
      <c r="D16" s="77"/>
      <c r="E16" s="77"/>
      <c r="F16" s="77"/>
      <c r="G16" s="77"/>
      <c r="H16" s="78">
        <f>AVERAGE(H6:H13)</f>
        <v>0.27997163137487413</v>
      </c>
      <c r="I16" s="79">
        <f>AVERAGE(I6:I13)</f>
        <v>25.953023740091723</v>
      </c>
      <c r="J16" s="79">
        <f>AVERAGE(J6:J13)</f>
        <v>17.092103683066483</v>
      </c>
    </row>
    <row r="17" spans="2:10" ht="15" customHeight="1" x14ac:dyDescent="0.35">
      <c r="B17" s="76" t="s">
        <v>334</v>
      </c>
      <c r="C17" s="77"/>
      <c r="D17" s="77"/>
      <c r="E17" s="77"/>
      <c r="F17" s="77"/>
      <c r="G17" s="77"/>
      <c r="H17" s="78">
        <f>MEDIAN(H6:H13)</f>
        <v>0.26650793650793653</v>
      </c>
      <c r="I17" s="79">
        <f>MEDIAN(I6:I13)</f>
        <v>27.996573857229592</v>
      </c>
      <c r="J17" s="79">
        <f>MEDIAN(J6:J13)</f>
        <v>17.90431560592851</v>
      </c>
    </row>
    <row r="18" spans="2:10" ht="15" customHeight="1" x14ac:dyDescent="0.35">
      <c r="B18" s="76" t="s">
        <v>335</v>
      </c>
      <c r="C18" s="77"/>
      <c r="D18" s="77"/>
      <c r="E18" s="77"/>
      <c r="F18" s="77"/>
      <c r="G18" s="77"/>
      <c r="H18" s="78">
        <f>MIN(H6:H13)</f>
        <v>0.21176470588235294</v>
      </c>
      <c r="I18" s="79">
        <f>MIN(I6:I13)</f>
        <v>20.727272727272727</v>
      </c>
      <c r="J18" s="79">
        <f>MIN(J6:J13)</f>
        <v>13.411764705882353</v>
      </c>
    </row>
    <row r="19" spans="2:10" ht="15" customHeight="1" x14ac:dyDescent="0.35">
      <c r="B19" s="76" t="s">
        <v>336</v>
      </c>
      <c r="C19" s="77"/>
      <c r="D19" s="77"/>
      <c r="E19" s="77"/>
      <c r="F19" s="77"/>
      <c r="G19" s="77"/>
      <c r="H19" s="78">
        <f>MAX(H6:H13)</f>
        <v>0.33750000000000002</v>
      </c>
      <c r="I19" s="79">
        <f>MAX(I6:I13)</f>
        <v>30.021141649048626</v>
      </c>
      <c r="J19" s="79">
        <f>MAX(J6:J13)</f>
        <v>20.391304347826086</v>
      </c>
    </row>
    <row r="21" spans="2:10" ht="15" customHeight="1" x14ac:dyDescent="0.35">
      <c r="B21" s="7" t="s">
        <v>337</v>
      </c>
      <c r="C21" s="7"/>
      <c r="D21" s="7"/>
      <c r="E21" s="7"/>
      <c r="F21" s="7"/>
      <c r="G21" s="7"/>
      <c r="H21" s="7"/>
      <c r="I21" s="7"/>
      <c r="J21" s="7"/>
    </row>
    <row r="22" spans="2:10" ht="23.25" customHeight="1" x14ac:dyDescent="0.35">
      <c r="B22" s="30" t="s">
        <v>338</v>
      </c>
      <c r="C22" s="30" t="s">
        <v>339</v>
      </c>
      <c r="D22" s="30" t="s">
        <v>340</v>
      </c>
      <c r="E22" s="30" t="s">
        <v>341</v>
      </c>
      <c r="F22" s="30" t="s">
        <v>342</v>
      </c>
      <c r="G22" s="87" t="s">
        <v>284</v>
      </c>
      <c r="H22" s="87"/>
      <c r="I22" s="87"/>
      <c r="J22" s="87"/>
    </row>
    <row r="23" spans="2:10" ht="15" customHeight="1" x14ac:dyDescent="0.35">
      <c r="B23" s="22" t="s">
        <v>343</v>
      </c>
      <c r="C23" s="33">
        <f>I17</f>
        <v>27.996573857229592</v>
      </c>
      <c r="D23" s="34">
        <v>380</v>
      </c>
      <c r="E23" s="34">
        <f>C23*D23</f>
        <v>10638.698065747245</v>
      </c>
      <c r="F23" s="34">
        <f>E23-600</f>
        <v>10038.698065747245</v>
      </c>
      <c r="G23" s="6" t="s">
        <v>344</v>
      </c>
      <c r="H23" s="6"/>
      <c r="I23" s="6"/>
      <c r="J23" s="6"/>
    </row>
    <row r="24" spans="2:10" ht="15" customHeight="1" x14ac:dyDescent="0.35">
      <c r="B24" s="22" t="s">
        <v>345</v>
      </c>
      <c r="C24" s="33">
        <f>J17</f>
        <v>17.90431560592851</v>
      </c>
      <c r="D24" s="34">
        <v>555</v>
      </c>
      <c r="E24" s="34">
        <f>C24*D24</f>
        <v>9936.895161290322</v>
      </c>
      <c r="F24" s="34">
        <f>E24-600</f>
        <v>9336.895161290322</v>
      </c>
      <c r="G24" s="6" t="s">
        <v>346</v>
      </c>
      <c r="H24" s="6"/>
      <c r="I24" s="6"/>
      <c r="J24" s="6"/>
    </row>
    <row r="25" spans="2:10" ht="23.25" customHeight="1" x14ac:dyDescent="0.35">
      <c r="B25" s="22" t="s">
        <v>347</v>
      </c>
      <c r="C25" s="33">
        <f>I17*1.1</f>
        <v>30.796231242952555</v>
      </c>
      <c r="D25" s="34">
        <v>380</v>
      </c>
      <c r="E25" s="34">
        <f>C25*D25</f>
        <v>11702.567872321972</v>
      </c>
      <c r="F25" s="34">
        <f>E25-600</f>
        <v>11102.567872321972</v>
      </c>
      <c r="G25" s="6" t="s">
        <v>348</v>
      </c>
      <c r="H25" s="6"/>
      <c r="I25" s="6"/>
      <c r="J25" s="6"/>
    </row>
    <row r="26" spans="2:10" ht="15" customHeight="1" x14ac:dyDescent="0.35">
      <c r="B26" s="62" t="s">
        <v>349</v>
      </c>
      <c r="C26" s="80"/>
      <c r="D26" s="63"/>
      <c r="E26" s="81">
        <f>AVERAGE(E23:E25)</f>
        <v>10759.387033119847</v>
      </c>
      <c r="F26" s="81">
        <f>AVERAGE(F23:F25)</f>
        <v>10159.387033119847</v>
      </c>
      <c r="G26" s="88" t="s">
        <v>350</v>
      </c>
      <c r="H26" s="88"/>
      <c r="I26" s="88"/>
      <c r="J26" s="88"/>
    </row>
  </sheetData>
  <mergeCells count="8">
    <mergeCell ref="G24:J24"/>
    <mergeCell ref="G25:J25"/>
    <mergeCell ref="G26:J26"/>
    <mergeCell ref="B2:J2"/>
    <mergeCell ref="B3:J3"/>
    <mergeCell ref="B21:J21"/>
    <mergeCell ref="G22:J22"/>
    <mergeCell ref="G23:J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23"/>
  <sheetViews>
    <sheetView showGridLines="0" zoomScaleNormal="100" workbookViewId="0">
      <selection activeCell="A5" sqref="A5"/>
    </sheetView>
  </sheetViews>
  <sheetFormatPr defaultColWidth="8.6328125" defaultRowHeight="14.5" x14ac:dyDescent="0.35"/>
  <cols>
    <col min="1" max="1" width="2" customWidth="1"/>
    <col min="2" max="2" width="11" customWidth="1"/>
    <col min="3" max="4" width="22" customWidth="1"/>
    <col min="5" max="5" width="11" customWidth="1"/>
    <col min="6" max="9" width="13" customWidth="1"/>
  </cols>
  <sheetData>
    <row r="2" spans="2:9" ht="24" customHeight="1" x14ac:dyDescent="0.35">
      <c r="B2" s="9" t="s">
        <v>351</v>
      </c>
      <c r="C2" s="9"/>
      <c r="D2" s="9"/>
      <c r="E2" s="9"/>
      <c r="F2" s="9"/>
      <c r="G2" s="9"/>
      <c r="H2" s="9"/>
      <c r="I2" s="9"/>
    </row>
    <row r="3" spans="2:9" ht="15" customHeight="1" x14ac:dyDescent="0.35">
      <c r="B3" s="90" t="s">
        <v>352</v>
      </c>
      <c r="C3" s="90"/>
      <c r="D3" s="90"/>
      <c r="E3" s="90"/>
      <c r="F3" s="90"/>
      <c r="G3" s="90"/>
      <c r="H3" s="90"/>
      <c r="I3" s="90"/>
    </row>
    <row r="5" spans="2:9" ht="24" customHeight="1" x14ac:dyDescent="0.35">
      <c r="B5" s="67" t="s">
        <v>353</v>
      </c>
      <c r="C5" s="67" t="s">
        <v>1</v>
      </c>
      <c r="D5" s="67" t="s">
        <v>354</v>
      </c>
      <c r="E5" s="67" t="s">
        <v>355</v>
      </c>
      <c r="F5" s="67" t="s">
        <v>318</v>
      </c>
      <c r="G5" s="67" t="s">
        <v>356</v>
      </c>
      <c r="H5" s="67" t="s">
        <v>357</v>
      </c>
      <c r="I5" s="67" t="s">
        <v>358</v>
      </c>
    </row>
    <row r="6" spans="2:9" ht="15" customHeight="1" x14ac:dyDescent="0.35">
      <c r="B6" s="82" t="s">
        <v>359</v>
      </c>
      <c r="C6" s="22" t="s">
        <v>360</v>
      </c>
      <c r="D6" s="22" t="s">
        <v>361</v>
      </c>
      <c r="E6" s="82" t="s">
        <v>362</v>
      </c>
      <c r="F6" s="34">
        <v>6600</v>
      </c>
      <c r="G6" s="34">
        <v>1700</v>
      </c>
      <c r="H6" s="34">
        <v>280</v>
      </c>
      <c r="I6" s="33">
        <v>23.6</v>
      </c>
    </row>
    <row r="7" spans="2:9" ht="15" customHeight="1" x14ac:dyDescent="0.35">
      <c r="B7" s="82" t="s">
        <v>363</v>
      </c>
      <c r="C7" s="22" t="s">
        <v>364</v>
      </c>
      <c r="D7" s="22" t="s">
        <v>365</v>
      </c>
      <c r="E7" s="82" t="s">
        <v>366</v>
      </c>
      <c r="F7" s="34">
        <v>8500</v>
      </c>
      <c r="G7" s="34">
        <v>1580</v>
      </c>
      <c r="H7" s="34">
        <v>365</v>
      </c>
      <c r="I7" s="33">
        <v>23.3</v>
      </c>
    </row>
    <row r="8" spans="2:9" ht="23.25" customHeight="1" x14ac:dyDescent="0.35">
      <c r="B8" s="82" t="s">
        <v>367</v>
      </c>
      <c r="C8" s="22" t="s">
        <v>368</v>
      </c>
      <c r="D8" s="22" t="s">
        <v>369</v>
      </c>
      <c r="E8" s="82" t="s">
        <v>366</v>
      </c>
      <c r="F8" s="34">
        <v>940</v>
      </c>
      <c r="G8" s="34">
        <v>250</v>
      </c>
      <c r="H8" s="34">
        <v>60</v>
      </c>
      <c r="I8" s="33">
        <v>15.7</v>
      </c>
    </row>
    <row r="9" spans="2:9" ht="15" customHeight="1" x14ac:dyDescent="0.35">
      <c r="B9" s="82" t="s">
        <v>370</v>
      </c>
      <c r="C9" s="22" t="s">
        <v>371</v>
      </c>
      <c r="D9" s="22" t="s">
        <v>372</v>
      </c>
      <c r="E9" s="82" t="s">
        <v>373</v>
      </c>
      <c r="F9" s="34">
        <v>5650</v>
      </c>
      <c r="G9" s="34">
        <v>1350</v>
      </c>
      <c r="H9" s="34">
        <v>410</v>
      </c>
      <c r="I9" s="33">
        <v>13.8</v>
      </c>
    </row>
    <row r="10" spans="2:9" ht="15" customHeight="1" x14ac:dyDescent="0.35">
      <c r="B10" s="82" t="s">
        <v>374</v>
      </c>
      <c r="C10" s="22" t="s">
        <v>375</v>
      </c>
      <c r="D10" s="22" t="s">
        <v>376</v>
      </c>
      <c r="E10" s="82" t="s">
        <v>377</v>
      </c>
      <c r="F10" s="34">
        <v>2300</v>
      </c>
      <c r="G10" s="34">
        <v>720</v>
      </c>
      <c r="H10" s="34">
        <v>100</v>
      </c>
      <c r="I10" s="33">
        <v>23</v>
      </c>
    </row>
    <row r="11" spans="2:9" ht="15" customHeight="1" x14ac:dyDescent="0.35">
      <c r="B11" s="82" t="s">
        <v>378</v>
      </c>
      <c r="C11" s="22" t="s">
        <v>379</v>
      </c>
      <c r="D11" s="22" t="s">
        <v>380</v>
      </c>
      <c r="E11" s="82" t="s">
        <v>381</v>
      </c>
      <c r="F11" s="34">
        <v>1300</v>
      </c>
      <c r="G11" s="34">
        <v>380</v>
      </c>
      <c r="H11" s="34">
        <v>90</v>
      </c>
      <c r="I11" s="33">
        <v>14.4</v>
      </c>
    </row>
    <row r="12" spans="2:9" ht="15" customHeight="1" x14ac:dyDescent="0.35">
      <c r="B12" s="82" t="s">
        <v>382</v>
      </c>
      <c r="C12" s="22" t="s">
        <v>383</v>
      </c>
      <c r="D12" s="22" t="s">
        <v>376</v>
      </c>
      <c r="E12" s="82" t="s">
        <v>366</v>
      </c>
      <c r="F12" s="34">
        <v>1000</v>
      </c>
      <c r="G12" s="34">
        <v>480</v>
      </c>
      <c r="H12" s="34">
        <v>65</v>
      </c>
      <c r="I12" s="33">
        <v>15.4</v>
      </c>
    </row>
    <row r="13" spans="2:9" ht="15" customHeight="1" x14ac:dyDescent="0.35">
      <c r="B13" s="82" t="s">
        <v>384</v>
      </c>
      <c r="C13" s="22" t="s">
        <v>385</v>
      </c>
      <c r="D13" s="22" t="s">
        <v>386</v>
      </c>
      <c r="E13" s="82" t="s">
        <v>387</v>
      </c>
      <c r="F13" s="34">
        <v>2100</v>
      </c>
      <c r="G13" s="34">
        <v>1450</v>
      </c>
      <c r="H13" s="34">
        <v>320</v>
      </c>
      <c r="I13" s="33">
        <v>6.6</v>
      </c>
    </row>
    <row r="14" spans="2:9" ht="23.25" customHeight="1" x14ac:dyDescent="0.35">
      <c r="B14" s="83" t="s">
        <v>388</v>
      </c>
      <c r="C14" s="72" t="s">
        <v>389</v>
      </c>
      <c r="D14" s="72" t="s">
        <v>372</v>
      </c>
      <c r="E14" s="83" t="s">
        <v>390</v>
      </c>
      <c r="F14" s="73">
        <v>6500</v>
      </c>
      <c r="G14" s="73">
        <v>1380</v>
      </c>
      <c r="H14" s="73">
        <v>230</v>
      </c>
      <c r="I14" s="75">
        <v>28.3</v>
      </c>
    </row>
    <row r="15" spans="2:9" ht="15" customHeight="1" x14ac:dyDescent="0.35">
      <c r="B15" s="82" t="s">
        <v>391</v>
      </c>
      <c r="C15" s="22" t="s">
        <v>392</v>
      </c>
      <c r="D15" s="22" t="s">
        <v>393</v>
      </c>
      <c r="E15" s="82" t="s">
        <v>394</v>
      </c>
      <c r="F15" s="34">
        <v>30000</v>
      </c>
      <c r="G15" s="34">
        <v>5400</v>
      </c>
      <c r="H15" s="34">
        <v>1000</v>
      </c>
      <c r="I15" s="33">
        <v>30</v>
      </c>
    </row>
    <row r="17" spans="2:9" ht="15" customHeight="1" x14ac:dyDescent="0.35">
      <c r="B17" s="76" t="s">
        <v>395</v>
      </c>
      <c r="C17" s="91"/>
      <c r="D17" s="91"/>
      <c r="E17" s="91"/>
      <c r="F17" s="91"/>
      <c r="G17" s="91"/>
      <c r="H17" s="91"/>
      <c r="I17" s="79">
        <f>AVERAGE(I6:I15)</f>
        <v>19.410000000000004</v>
      </c>
    </row>
    <row r="18" spans="2:9" ht="15" customHeight="1" x14ac:dyDescent="0.35">
      <c r="B18" s="76" t="s">
        <v>396</v>
      </c>
      <c r="C18" s="91"/>
      <c r="D18" s="91"/>
      <c r="E18" s="91"/>
      <c r="F18" s="91"/>
      <c r="G18" s="91"/>
      <c r="H18" s="91"/>
      <c r="I18" s="79">
        <f>MEDIAN(I6:I15)</f>
        <v>19.350000000000001</v>
      </c>
    </row>
    <row r="19" spans="2:9" ht="15" customHeight="1" x14ac:dyDescent="0.35">
      <c r="B19" s="76" t="s">
        <v>397</v>
      </c>
      <c r="C19" s="91"/>
      <c r="D19" s="91"/>
      <c r="E19" s="91"/>
      <c r="F19" s="91"/>
      <c r="G19" s="91"/>
      <c r="H19" s="91"/>
      <c r="I19" s="79">
        <f>PERCENTILE(I6:I15,0.75)</f>
        <v>23.525000000000002</v>
      </c>
    </row>
    <row r="21" spans="2:9" ht="18" customHeight="1" x14ac:dyDescent="0.35">
      <c r="B21" s="92" t="s">
        <v>398</v>
      </c>
      <c r="C21" s="92"/>
      <c r="D21" s="92"/>
      <c r="E21" s="92"/>
      <c r="F21" s="92"/>
      <c r="G21" s="92"/>
      <c r="H21" s="92"/>
      <c r="I21" s="92"/>
    </row>
    <row r="22" spans="2:9" ht="18" customHeight="1" x14ac:dyDescent="0.35">
      <c r="B22" s="92"/>
      <c r="C22" s="92"/>
      <c r="D22" s="92"/>
      <c r="E22" s="92"/>
      <c r="F22" s="92"/>
      <c r="G22" s="92"/>
      <c r="H22" s="92"/>
      <c r="I22" s="92"/>
    </row>
    <row r="23" spans="2:9" ht="18" customHeight="1" x14ac:dyDescent="0.35">
      <c r="B23" s="92"/>
      <c r="C23" s="92"/>
      <c r="D23" s="92"/>
      <c r="E23" s="92"/>
      <c r="F23" s="92"/>
      <c r="G23" s="92"/>
      <c r="H23" s="92"/>
      <c r="I23" s="92"/>
    </row>
  </sheetData>
  <mergeCells count="6">
    <mergeCell ref="B21:I23"/>
    <mergeCell ref="B2:I2"/>
    <mergeCell ref="B3:I3"/>
    <mergeCell ref="C17:H17"/>
    <mergeCell ref="C18:H18"/>
    <mergeCell ref="C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4"/>
  <sheetViews>
    <sheetView showGridLines="0" topLeftCell="A27" zoomScaleNormal="100" workbookViewId="0">
      <selection activeCell="B34" sqref="B34:H34"/>
    </sheetView>
  </sheetViews>
  <sheetFormatPr defaultColWidth="8.6328125" defaultRowHeight="14.5" x14ac:dyDescent="0.35"/>
  <cols>
    <col min="1" max="1" width="2" customWidth="1"/>
    <col min="2" max="2" width="28" customWidth="1"/>
    <col min="3" max="8" width="13" customWidth="1"/>
  </cols>
  <sheetData>
    <row r="2" spans="2:8" ht="24" customHeight="1" x14ac:dyDescent="0.35">
      <c r="B2" s="9" t="s">
        <v>399</v>
      </c>
      <c r="C2" s="9"/>
      <c r="D2" s="9"/>
      <c r="E2" s="9"/>
      <c r="F2" s="9"/>
      <c r="G2" s="9"/>
      <c r="H2" s="9"/>
    </row>
    <row r="4" spans="2:8" ht="15" customHeight="1" x14ac:dyDescent="0.35">
      <c r="B4" s="4" t="s">
        <v>400</v>
      </c>
      <c r="C4" s="4"/>
      <c r="D4" s="4"/>
      <c r="E4" s="4"/>
      <c r="F4" s="4"/>
      <c r="G4" s="4"/>
      <c r="H4" s="4"/>
    </row>
    <row r="5" spans="2:8" ht="15" customHeight="1" x14ac:dyDescent="0.35">
      <c r="C5" s="87" t="s">
        <v>401</v>
      </c>
      <c r="D5" s="87"/>
      <c r="E5" s="87"/>
      <c r="F5" s="87"/>
      <c r="G5" s="87"/>
    </row>
    <row r="6" spans="2:8" ht="15" customHeight="1" x14ac:dyDescent="0.35">
      <c r="B6" s="30" t="s">
        <v>402</v>
      </c>
      <c r="C6" s="30" t="s">
        <v>381</v>
      </c>
      <c r="D6" s="30" t="s">
        <v>403</v>
      </c>
      <c r="E6" s="30" t="s">
        <v>366</v>
      </c>
      <c r="F6" s="30" t="s">
        <v>404</v>
      </c>
      <c r="G6" s="30" t="s">
        <v>405</v>
      </c>
    </row>
    <row r="7" spans="2:8" ht="15" customHeight="1" x14ac:dyDescent="0.35">
      <c r="B7" s="82" t="s">
        <v>406</v>
      </c>
      <c r="C7" s="32">
        <v>0.09</v>
      </c>
      <c r="D7" s="32">
        <v>0.124</v>
      </c>
      <c r="E7" s="32">
        <v>0.15</v>
      </c>
      <c r="F7" s="32">
        <v>0.17399999999999999</v>
      </c>
      <c r="G7" s="32">
        <v>0.19600000000000001</v>
      </c>
    </row>
    <row r="8" spans="2:8" ht="15" customHeight="1" x14ac:dyDescent="0.35">
      <c r="B8" s="82" t="s">
        <v>407</v>
      </c>
      <c r="C8" s="32">
        <v>0.13</v>
      </c>
      <c r="D8" s="32">
        <v>0.16600000000000001</v>
      </c>
      <c r="E8" s="32">
        <v>0.193</v>
      </c>
      <c r="F8" s="32">
        <v>0.218</v>
      </c>
      <c r="G8" s="32">
        <v>0.24099999999999999</v>
      </c>
    </row>
    <row r="9" spans="2:8" ht="15" customHeight="1" x14ac:dyDescent="0.35">
      <c r="B9" s="84" t="s">
        <v>408</v>
      </c>
      <c r="C9" s="85">
        <v>0.16600000000000001</v>
      </c>
      <c r="D9" s="85">
        <v>0.20399999999999999</v>
      </c>
      <c r="E9" s="66">
        <v>0.23200000000000001</v>
      </c>
      <c r="F9" s="85">
        <v>0.25800000000000001</v>
      </c>
      <c r="G9" s="85">
        <v>0.28199999999999997</v>
      </c>
    </row>
    <row r="10" spans="2:8" ht="15" customHeight="1" x14ac:dyDescent="0.35">
      <c r="B10" s="82" t="s">
        <v>409</v>
      </c>
      <c r="C10" s="32">
        <v>0.19900000000000001</v>
      </c>
      <c r="D10" s="32">
        <v>0.23799999999999999</v>
      </c>
      <c r="E10" s="32">
        <v>0.26800000000000002</v>
      </c>
      <c r="F10" s="32">
        <v>0.29499999999999998</v>
      </c>
      <c r="G10" s="32">
        <v>0.31900000000000001</v>
      </c>
    </row>
    <row r="11" spans="2:8" ht="15" customHeight="1" x14ac:dyDescent="0.35">
      <c r="B11" s="82" t="s">
        <v>410</v>
      </c>
      <c r="C11" s="32">
        <v>0.22900000000000001</v>
      </c>
      <c r="D11" s="32">
        <v>0.27</v>
      </c>
      <c r="E11" s="32">
        <v>0.3</v>
      </c>
      <c r="F11" s="32">
        <v>0.32700000000000001</v>
      </c>
      <c r="G11" s="32">
        <v>0.35299999999999998</v>
      </c>
    </row>
    <row r="13" spans="2:8" ht="15" customHeight="1" x14ac:dyDescent="0.35">
      <c r="B13" s="93" t="s">
        <v>411</v>
      </c>
      <c r="C13" s="93"/>
      <c r="D13" s="93"/>
      <c r="E13" s="93"/>
      <c r="F13" s="93"/>
      <c r="G13" s="93"/>
      <c r="H13" s="93"/>
    </row>
    <row r="15" spans="2:8" ht="15" customHeight="1" x14ac:dyDescent="0.35">
      <c r="B15" s="4" t="s">
        <v>412</v>
      </c>
      <c r="C15" s="4"/>
      <c r="D15" s="4"/>
      <c r="E15" s="4"/>
      <c r="F15" s="4"/>
      <c r="G15" s="4"/>
      <c r="H15" s="4"/>
    </row>
    <row r="16" spans="2:8" ht="15" customHeight="1" x14ac:dyDescent="0.35">
      <c r="C16" s="87" t="s">
        <v>413</v>
      </c>
      <c r="D16" s="87"/>
      <c r="E16" s="87"/>
      <c r="F16" s="87"/>
      <c r="G16" s="87"/>
    </row>
    <row r="17" spans="2:8" ht="15" customHeight="1" x14ac:dyDescent="0.35">
      <c r="B17" s="30" t="s">
        <v>402</v>
      </c>
      <c r="C17" s="30" t="s">
        <v>414</v>
      </c>
      <c r="D17" s="30" t="s">
        <v>415</v>
      </c>
      <c r="E17" s="30" t="s">
        <v>416</v>
      </c>
      <c r="F17" s="30" t="s">
        <v>417</v>
      </c>
      <c r="G17" s="30" t="s">
        <v>418</v>
      </c>
    </row>
    <row r="18" spans="2:8" ht="15" customHeight="1" x14ac:dyDescent="0.35">
      <c r="B18" s="82" t="s">
        <v>406</v>
      </c>
      <c r="C18" s="33">
        <v>1.55</v>
      </c>
      <c r="D18" s="33">
        <v>1.8</v>
      </c>
      <c r="E18" s="33">
        <v>2.1</v>
      </c>
      <c r="F18" s="33">
        <v>2.42</v>
      </c>
      <c r="G18" s="33">
        <v>2.78</v>
      </c>
    </row>
    <row r="19" spans="2:8" ht="15" customHeight="1" x14ac:dyDescent="0.35">
      <c r="B19" s="82" t="s">
        <v>407</v>
      </c>
      <c r="C19" s="33">
        <v>2</v>
      </c>
      <c r="D19" s="33">
        <v>2.35</v>
      </c>
      <c r="E19" s="33">
        <v>2.75</v>
      </c>
      <c r="F19" s="33">
        <v>3.18</v>
      </c>
      <c r="G19" s="33">
        <v>3.65</v>
      </c>
    </row>
    <row r="20" spans="2:8" ht="15" customHeight="1" x14ac:dyDescent="0.35">
      <c r="B20" s="84" t="s">
        <v>408</v>
      </c>
      <c r="C20" s="86">
        <v>2.5</v>
      </c>
      <c r="D20" s="86">
        <v>2.95</v>
      </c>
      <c r="E20" s="65">
        <v>3.45</v>
      </c>
      <c r="F20" s="86">
        <v>4</v>
      </c>
      <c r="G20" s="86">
        <v>4.5999999999999996</v>
      </c>
    </row>
    <row r="21" spans="2:8" ht="15" customHeight="1" x14ac:dyDescent="0.35">
      <c r="B21" s="82" t="s">
        <v>409</v>
      </c>
      <c r="C21" s="33">
        <v>3</v>
      </c>
      <c r="D21" s="33">
        <v>3.55</v>
      </c>
      <c r="E21" s="33">
        <v>4.1500000000000004</v>
      </c>
      <c r="F21" s="33">
        <v>4.82</v>
      </c>
      <c r="G21" s="33">
        <v>5.55</v>
      </c>
    </row>
    <row r="22" spans="2:8" ht="15" customHeight="1" x14ac:dyDescent="0.35">
      <c r="B22" s="82" t="s">
        <v>410</v>
      </c>
      <c r="C22" s="33">
        <v>3.5</v>
      </c>
      <c r="D22" s="33">
        <v>4.1500000000000004</v>
      </c>
      <c r="E22" s="33">
        <v>4.8499999999999996</v>
      </c>
      <c r="F22" s="33">
        <v>5.65</v>
      </c>
      <c r="G22" s="33">
        <v>6.5</v>
      </c>
    </row>
    <row r="25" spans="2:8" ht="15" customHeight="1" x14ac:dyDescent="0.35">
      <c r="B25" s="4" t="s">
        <v>419</v>
      </c>
      <c r="C25" s="4"/>
      <c r="D25" s="4"/>
      <c r="E25" s="4"/>
      <c r="F25" s="4"/>
      <c r="G25" s="4"/>
      <c r="H25" s="4"/>
    </row>
    <row r="26" spans="2:8" ht="15" customHeight="1" x14ac:dyDescent="0.35">
      <c r="C26" s="87" t="s">
        <v>420</v>
      </c>
      <c r="D26" s="87"/>
      <c r="E26" s="87"/>
      <c r="F26" s="87"/>
      <c r="G26" s="87"/>
    </row>
    <row r="27" spans="2:8" ht="15" customHeight="1" x14ac:dyDescent="0.35">
      <c r="B27" s="30" t="s">
        <v>421</v>
      </c>
      <c r="C27" s="30" t="s">
        <v>422</v>
      </c>
      <c r="D27" s="30" t="s">
        <v>423</v>
      </c>
      <c r="E27" s="30" t="s">
        <v>424</v>
      </c>
      <c r="F27" s="30" t="s">
        <v>425</v>
      </c>
      <c r="G27" s="30" t="s">
        <v>426</v>
      </c>
    </row>
    <row r="28" spans="2:8" ht="15" customHeight="1" x14ac:dyDescent="0.35">
      <c r="B28" s="82" t="s">
        <v>409</v>
      </c>
      <c r="C28" s="32">
        <v>0.29599999999999999</v>
      </c>
      <c r="D28" s="32">
        <v>0.318</v>
      </c>
      <c r="E28" s="32">
        <v>0.33900000000000002</v>
      </c>
      <c r="F28" s="32">
        <v>0.35799999999999998</v>
      </c>
      <c r="G28" s="32">
        <v>0.376</v>
      </c>
    </row>
    <row r="29" spans="2:8" ht="15" customHeight="1" x14ac:dyDescent="0.35">
      <c r="B29" s="82" t="s">
        <v>427</v>
      </c>
      <c r="C29" s="32">
        <v>0.27</v>
      </c>
      <c r="D29" s="32">
        <v>0.29199999999999998</v>
      </c>
      <c r="E29" s="32">
        <v>0.313</v>
      </c>
      <c r="F29" s="32">
        <v>0.33100000000000002</v>
      </c>
      <c r="G29" s="32">
        <v>0.34799999999999998</v>
      </c>
    </row>
    <row r="30" spans="2:8" ht="15" customHeight="1" x14ac:dyDescent="0.35">
      <c r="B30" s="84" t="s">
        <v>428</v>
      </c>
      <c r="C30" s="85">
        <v>0.23200000000000001</v>
      </c>
      <c r="D30" s="85">
        <v>0.253</v>
      </c>
      <c r="E30" s="66">
        <v>0.27300000000000002</v>
      </c>
      <c r="F30" s="85">
        <v>0.28999999999999998</v>
      </c>
      <c r="G30" s="85">
        <v>0.30499999999999999</v>
      </c>
    </row>
    <row r="31" spans="2:8" ht="15" customHeight="1" x14ac:dyDescent="0.35">
      <c r="B31" s="82" t="s">
        <v>429</v>
      </c>
      <c r="C31" s="32">
        <v>0.19600000000000001</v>
      </c>
      <c r="D31" s="32">
        <v>0.215</v>
      </c>
      <c r="E31" s="32">
        <v>0.23400000000000001</v>
      </c>
      <c r="F31" s="32">
        <v>0.25</v>
      </c>
      <c r="G31" s="32">
        <v>0.26400000000000001</v>
      </c>
    </row>
    <row r="32" spans="2:8" ht="15" customHeight="1" x14ac:dyDescent="0.35">
      <c r="B32" s="82" t="s">
        <v>430</v>
      </c>
      <c r="C32" s="32">
        <v>0.158</v>
      </c>
      <c r="D32" s="32">
        <v>0.17599999999999999</v>
      </c>
      <c r="E32" s="32">
        <v>0.193</v>
      </c>
      <c r="F32" s="32">
        <v>0.20699999999999999</v>
      </c>
      <c r="G32" s="32">
        <v>0.219</v>
      </c>
    </row>
    <row r="34" spans="2:8" ht="30" customHeight="1" x14ac:dyDescent="0.35">
      <c r="B34" s="10" t="s">
        <v>431</v>
      </c>
      <c r="C34" s="10"/>
      <c r="D34" s="10"/>
      <c r="E34" s="10"/>
      <c r="F34" s="10"/>
      <c r="G34" s="10"/>
      <c r="H34" s="10"/>
    </row>
  </sheetData>
  <mergeCells count="9">
    <mergeCell ref="C16:G16"/>
    <mergeCell ref="B25:H25"/>
    <mergeCell ref="C26:G26"/>
    <mergeCell ref="B34:H34"/>
    <mergeCell ref="B2:H2"/>
    <mergeCell ref="B4:H4"/>
    <mergeCell ref="C5:G5"/>
    <mergeCell ref="B13:H13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Assumptions</vt:lpstr>
      <vt:lpstr>Sources_Uses</vt:lpstr>
      <vt:lpstr>Operating_Model</vt:lpstr>
      <vt:lpstr>Debt_Schedule</vt:lpstr>
      <vt:lpstr>FCF_Returns</vt:lpstr>
      <vt:lpstr>Comparables</vt:lpstr>
      <vt:lpstr>Precedents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Bhattacharya, Bodhisatwa</cp:lastModifiedBy>
  <cp:revision>0</cp:revision>
  <dcterms:created xsi:type="dcterms:W3CDTF">2026-05-07T12:51:05Z</dcterms:created>
  <dcterms:modified xsi:type="dcterms:W3CDTF">2026-05-11T03:28:10Z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2026-05-09T12:21:01Z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3cdaa142-ad48-430f-a056-95dbe53853b8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