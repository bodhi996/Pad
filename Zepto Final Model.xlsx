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hattacharya Bodhis\Downloads\"/>
    </mc:Choice>
  </mc:AlternateContent>
  <xr:revisionPtr revIDLastSave="0" documentId="8_{CC554E4B-6A31-4BB5-9639-3C2E1758E369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Zepto Model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1" i="1" l="1"/>
  <c r="F138" i="1"/>
  <c r="G138" i="1"/>
  <c r="H116" i="1"/>
  <c r="D89" i="1"/>
  <c r="E89" i="1"/>
  <c r="F89" i="1"/>
  <c r="G89" i="1"/>
  <c r="H89" i="1"/>
  <c r="C89" i="1"/>
  <c r="C105" i="1"/>
  <c r="D70" i="1"/>
  <c r="E70" i="1" s="1"/>
  <c r="F70" i="1" s="1"/>
  <c r="G70" i="1" s="1"/>
  <c r="H70" i="1" s="1"/>
  <c r="F152" i="1"/>
  <c r="C110" i="1"/>
  <c r="C108" i="1"/>
  <c r="H94" i="1"/>
  <c r="G94" i="1"/>
  <c r="F94" i="1"/>
  <c r="E94" i="1"/>
  <c r="D94" i="1"/>
  <c r="C94" i="1"/>
  <c r="H79" i="1"/>
  <c r="G79" i="1"/>
  <c r="F79" i="1"/>
  <c r="E79" i="1"/>
  <c r="D79" i="1"/>
  <c r="C79" i="1"/>
  <c r="H69" i="1"/>
  <c r="G69" i="1"/>
  <c r="F69" i="1"/>
  <c r="E69" i="1"/>
  <c r="D69" i="1"/>
  <c r="D71" i="1" s="1"/>
  <c r="C71" i="1"/>
  <c r="H12" i="1"/>
  <c r="H13" i="1" s="1"/>
  <c r="G12" i="1"/>
  <c r="G13" i="1" s="1"/>
  <c r="G50" i="1" s="1"/>
  <c r="G63" i="1" s="1"/>
  <c r="F12" i="1"/>
  <c r="F13" i="1" s="1"/>
  <c r="E12" i="1"/>
  <c r="E55" i="1" s="1"/>
  <c r="D12" i="1"/>
  <c r="D55" i="1" s="1"/>
  <c r="C12" i="1"/>
  <c r="C55" i="1" s="1"/>
  <c r="E71" i="1" l="1"/>
  <c r="F71" i="1"/>
  <c r="H71" i="1"/>
  <c r="G71" i="1"/>
  <c r="H26" i="1"/>
  <c r="G26" i="1"/>
  <c r="C13" i="1"/>
  <c r="C111" i="1"/>
  <c r="D116" i="1" s="1"/>
  <c r="E116" i="1"/>
  <c r="D13" i="1"/>
  <c r="F25" i="1"/>
  <c r="F27" i="1"/>
  <c r="H25" i="1"/>
  <c r="H27" i="1"/>
  <c r="H50" i="1"/>
  <c r="H63" i="1" s="1"/>
  <c r="H23" i="1"/>
  <c r="H24" i="1" s="1"/>
  <c r="H49" i="1"/>
  <c r="H62" i="1" s="1"/>
  <c r="F50" i="1"/>
  <c r="F63" i="1" s="1"/>
  <c r="F49" i="1"/>
  <c r="F62" i="1" s="1"/>
  <c r="G25" i="1"/>
  <c r="G27" i="1"/>
  <c r="G23" i="1"/>
  <c r="G24" i="1" s="1"/>
  <c r="G14" i="1"/>
  <c r="H14" i="1"/>
  <c r="F23" i="1"/>
  <c r="F24" i="1" s="1"/>
  <c r="F55" i="1"/>
  <c r="G55" i="1"/>
  <c r="G49" i="1"/>
  <c r="G62" i="1" s="1"/>
  <c r="E13" i="1"/>
  <c r="F26" i="1"/>
  <c r="H55" i="1"/>
  <c r="D35" i="1" l="1"/>
  <c r="E35" i="1" s="1"/>
  <c r="F35" i="1" s="1"/>
  <c r="F116" i="1"/>
  <c r="C116" i="1"/>
  <c r="G116" i="1"/>
  <c r="C26" i="1"/>
  <c r="D34" i="1"/>
  <c r="E34" i="1" s="1"/>
  <c r="F34" i="1" s="1"/>
  <c r="C45" i="1"/>
  <c r="C60" i="1" s="1"/>
  <c r="C23" i="1"/>
  <c r="C24" i="1" s="1"/>
  <c r="C41" i="1" s="1"/>
  <c r="C27" i="1"/>
  <c r="C50" i="1"/>
  <c r="C63" i="1" s="1"/>
  <c r="C44" i="1"/>
  <c r="C59" i="1" s="1"/>
  <c r="C25" i="1"/>
  <c r="C49" i="1"/>
  <c r="C62" i="1" s="1"/>
  <c r="G41" i="1"/>
  <c r="G28" i="1"/>
  <c r="F41" i="1"/>
  <c r="F28" i="1"/>
  <c r="H28" i="1"/>
  <c r="H41" i="1"/>
  <c r="E49" i="1"/>
  <c r="E62" i="1" s="1"/>
  <c r="E14" i="1"/>
  <c r="E27" i="1"/>
  <c r="E25" i="1"/>
  <c r="E50" i="1"/>
  <c r="E63" i="1" s="1"/>
  <c r="E26" i="1"/>
  <c r="E23" i="1"/>
  <c r="E24" i="1" s="1"/>
  <c r="F14" i="1"/>
  <c r="D49" i="1"/>
  <c r="D62" i="1" s="1"/>
  <c r="D14" i="1"/>
  <c r="D27" i="1"/>
  <c r="D25" i="1"/>
  <c r="D50" i="1"/>
  <c r="D63" i="1" s="1"/>
  <c r="D26" i="1"/>
  <c r="C143" i="1"/>
  <c r="D23" i="1"/>
  <c r="D24" i="1" s="1"/>
  <c r="D44" i="1" l="1"/>
  <c r="D59" i="1" s="1"/>
  <c r="D45" i="1"/>
  <c r="D60" i="1" s="1"/>
  <c r="E45" i="1"/>
  <c r="E60" i="1" s="1"/>
  <c r="G34" i="1"/>
  <c r="F44" i="1"/>
  <c r="F59" i="1" s="1"/>
  <c r="E44" i="1"/>
  <c r="E59" i="1" s="1"/>
  <c r="G35" i="1"/>
  <c r="F45" i="1"/>
  <c r="F60" i="1" s="1"/>
  <c r="C81" i="1"/>
  <c r="C28" i="1"/>
  <c r="C30" i="1" s="1"/>
  <c r="E41" i="1"/>
  <c r="E28" i="1"/>
  <c r="F29" i="1" s="1"/>
  <c r="D28" i="1"/>
  <c r="C140" i="1" s="1"/>
  <c r="D41" i="1"/>
  <c r="E159" i="1"/>
  <c r="D159" i="1"/>
  <c r="C159" i="1"/>
  <c r="C80" i="1"/>
  <c r="C40" i="1"/>
  <c r="H57" i="1"/>
  <c r="H80" i="1"/>
  <c r="H81" i="1"/>
  <c r="H40" i="1"/>
  <c r="H56" i="1"/>
  <c r="H30" i="1"/>
  <c r="H29" i="1"/>
  <c r="F40" i="1"/>
  <c r="F56" i="1"/>
  <c r="F30" i="1"/>
  <c r="F57" i="1"/>
  <c r="F80" i="1"/>
  <c r="F81" i="1"/>
  <c r="G40" i="1"/>
  <c r="G56" i="1"/>
  <c r="G30" i="1"/>
  <c r="G29" i="1"/>
  <c r="G57" i="1"/>
  <c r="G80" i="1"/>
  <c r="G81" i="1"/>
  <c r="C56" i="1" l="1"/>
  <c r="H35" i="1"/>
  <c r="H45" i="1" s="1"/>
  <c r="H60" i="1" s="1"/>
  <c r="G45" i="1"/>
  <c r="G60" i="1" s="1"/>
  <c r="H34" i="1"/>
  <c r="H44" i="1" s="1"/>
  <c r="H59" i="1" s="1"/>
  <c r="G44" i="1"/>
  <c r="G59" i="1" s="1"/>
  <c r="C57" i="1"/>
  <c r="H72" i="1"/>
  <c r="H73" i="1" s="1"/>
  <c r="H95" i="1" s="1"/>
  <c r="H82" i="1"/>
  <c r="H83" i="1" s="1"/>
  <c r="H42" i="1"/>
  <c r="C72" i="1"/>
  <c r="C73" i="1" s="1"/>
  <c r="C95" i="1" s="1"/>
  <c r="C82" i="1"/>
  <c r="C83" i="1" s="1"/>
  <c r="C42" i="1"/>
  <c r="G72" i="1"/>
  <c r="G73" i="1" s="1"/>
  <c r="G95" i="1" s="1"/>
  <c r="G82" i="1"/>
  <c r="G83" i="1" s="1"/>
  <c r="G42" i="1"/>
  <c r="E29" i="1"/>
  <c r="E40" i="1"/>
  <c r="E56" i="1"/>
  <c r="E30" i="1"/>
  <c r="D81" i="1"/>
  <c r="D57" i="1"/>
  <c r="D80" i="1"/>
  <c r="D29" i="1"/>
  <c r="D56" i="1"/>
  <c r="D40" i="1"/>
  <c r="D30" i="1"/>
  <c r="F72" i="1"/>
  <c r="F73" i="1" s="1"/>
  <c r="F95" i="1" s="1"/>
  <c r="F42" i="1"/>
  <c r="F82" i="1"/>
  <c r="F83" i="1" s="1"/>
  <c r="E81" i="1"/>
  <c r="E80" i="1"/>
  <c r="E57" i="1"/>
  <c r="G84" i="1" l="1"/>
  <c r="G96" i="1" s="1"/>
  <c r="G43" i="1"/>
  <c r="G46" i="1"/>
  <c r="G58" i="1"/>
  <c r="F46" i="1"/>
  <c r="F43" i="1"/>
  <c r="F58" i="1"/>
  <c r="E72" i="1"/>
  <c r="E73" i="1" s="1"/>
  <c r="E95" i="1" s="1"/>
  <c r="E42" i="1"/>
  <c r="E82" i="1"/>
  <c r="E83" i="1" s="1"/>
  <c r="C58" i="1"/>
  <c r="C43" i="1"/>
  <c r="C46" i="1"/>
  <c r="C153" i="1"/>
  <c r="C142" i="1"/>
  <c r="H84" i="1"/>
  <c r="H96" i="1" s="1"/>
  <c r="D72" i="1"/>
  <c r="D73" i="1" s="1"/>
  <c r="D95" i="1" s="1"/>
  <c r="D82" i="1"/>
  <c r="D83" i="1" s="1"/>
  <c r="D84" i="1" s="1"/>
  <c r="D96" i="1" s="1"/>
  <c r="D42" i="1"/>
  <c r="H43" i="1"/>
  <c r="H46" i="1"/>
  <c r="H58" i="1"/>
  <c r="C160" i="1" l="1"/>
  <c r="E160" i="1"/>
  <c r="D160" i="1"/>
  <c r="E84" i="1"/>
  <c r="E96" i="1" s="1"/>
  <c r="E158" i="1"/>
  <c r="D158" i="1"/>
  <c r="C158" i="1"/>
  <c r="C51" i="1"/>
  <c r="C88" i="1" s="1"/>
  <c r="C61" i="1"/>
  <c r="C47" i="1"/>
  <c r="E46" i="1"/>
  <c r="E43" i="1"/>
  <c r="E58" i="1"/>
  <c r="F47" i="1"/>
  <c r="F51" i="1"/>
  <c r="F61" i="1"/>
  <c r="G47" i="1"/>
  <c r="G51" i="1"/>
  <c r="G61" i="1"/>
  <c r="H47" i="1"/>
  <c r="H51" i="1"/>
  <c r="H61" i="1"/>
  <c r="D43" i="1"/>
  <c r="D58" i="1"/>
  <c r="D46" i="1"/>
  <c r="F84" i="1"/>
  <c r="F96" i="1" s="1"/>
  <c r="G64" i="1" l="1"/>
  <c r="G52" i="1"/>
  <c r="G88" i="1"/>
  <c r="G90" i="1" s="1"/>
  <c r="F64" i="1"/>
  <c r="F52" i="1"/>
  <c r="F88" i="1"/>
  <c r="F90" i="1" s="1"/>
  <c r="E61" i="1"/>
  <c r="E51" i="1"/>
  <c r="E47" i="1"/>
  <c r="C64" i="1"/>
  <c r="C52" i="1"/>
  <c r="C90" i="1"/>
  <c r="D61" i="1"/>
  <c r="D47" i="1"/>
  <c r="D51" i="1"/>
  <c r="H64" i="1"/>
  <c r="H52" i="1"/>
  <c r="H88" i="1"/>
  <c r="H90" i="1" s="1"/>
  <c r="H92" i="1" l="1"/>
  <c r="H93" i="1" s="1"/>
  <c r="H97" i="1" s="1"/>
  <c r="C121" i="1" s="1"/>
  <c r="C122" i="1" s="1"/>
  <c r="C123" i="1" s="1"/>
  <c r="D64" i="1"/>
  <c r="D52" i="1"/>
  <c r="D88" i="1"/>
  <c r="D90" i="1" s="1"/>
  <c r="E88" i="1"/>
  <c r="E90" i="1" s="1"/>
  <c r="E64" i="1"/>
  <c r="E52" i="1"/>
  <c r="F92" i="1"/>
  <c r="F93" i="1" s="1"/>
  <c r="F97" i="1" s="1"/>
  <c r="G92" i="1"/>
  <c r="G93" i="1" s="1"/>
  <c r="G97" i="1" s="1"/>
  <c r="C92" i="1"/>
  <c r="C93" i="1" s="1"/>
  <c r="C97" i="1" s="1"/>
  <c r="C114" i="1" l="1"/>
  <c r="C117" i="1" s="1"/>
  <c r="C98" i="1"/>
  <c r="G98" i="1"/>
  <c r="G114" i="1"/>
  <c r="G117" i="1" s="1"/>
  <c r="F98" i="1"/>
  <c r="F114" i="1"/>
  <c r="F117" i="1" s="1"/>
  <c r="H114" i="1"/>
  <c r="H117" i="1" s="1"/>
  <c r="H98" i="1"/>
  <c r="E92" i="1"/>
  <c r="E93" i="1" s="1"/>
  <c r="E97" i="1" s="1"/>
  <c r="D92" i="1"/>
  <c r="D93" i="1" s="1"/>
  <c r="D97" i="1" s="1"/>
  <c r="D114" i="1" l="1"/>
  <c r="D117" i="1" s="1"/>
  <c r="D98" i="1"/>
  <c r="E114" i="1"/>
  <c r="E117" i="1" s="1"/>
  <c r="E98" i="1"/>
  <c r="C118" i="1" l="1"/>
  <c r="C125" i="1" s="1"/>
  <c r="C128" i="1" s="1"/>
  <c r="D157" i="1" l="1"/>
  <c r="D162" i="1" s="1"/>
  <c r="C129" i="1"/>
  <c r="C157" i="1"/>
  <c r="C162" i="1" s="1"/>
  <c r="E157" i="1"/>
  <c r="E162" i="1" s="1"/>
</calcChain>
</file>

<file path=xl/sharedStrings.xml><?xml version="1.0" encoding="utf-8"?>
<sst xmlns="http://schemas.openxmlformats.org/spreadsheetml/2006/main" count="387" uniqueCount="291">
  <si>
    <t>ZEPTO  |  5-YEAR BUSINESS PLAN &amp; VALUATION</t>
  </si>
  <si>
    <t>₹ Crores unless noted  |  Public sources only  |  Cost rates expressed as % of GOV (Avendus convention)</t>
  </si>
  <si>
    <t>METRIC</t>
  </si>
  <si>
    <t>FY25A</t>
  </si>
  <si>
    <t>FY26E</t>
  </si>
  <si>
    <t>FY27E</t>
  </si>
  <si>
    <t>FY28E</t>
  </si>
  <si>
    <t>FY29E</t>
  </si>
  <si>
    <t>FY30E</t>
  </si>
  <si>
    <t>Unit</t>
  </si>
  <si>
    <t>Source / Rationale</t>
  </si>
  <si>
    <t>Link</t>
  </si>
  <si>
    <t>A.  OPERATIONAL DRIVERS</t>
  </si>
  <si>
    <t>Dark stores (period average)</t>
  </si>
  <si>
    <t>count</t>
  </si>
  <si>
    <t>FY25 avg(400 start, 900 end)=650. Anchors: 550 stores Mar24 (Entrackr), 600 Nov24 (Palicha BS), 1,147 Feb26 (JP Morgan). Net adds decelerating.</t>
  </si>
  <si>
    <t>Inc42 Feb 26 (JP Morgan: 1,147 stores)</t>
  </si>
  <si>
    <t>Orders per store per day</t>
  </si>
  <si>
    <t>/day</t>
  </si>
  <si>
    <t>BS Nov 24 (Palicha interview)</t>
  </si>
  <si>
    <t>Operating days per year</t>
  </si>
  <si>
    <t>days</t>
  </si>
  <si>
    <t>Industry standard: Q-comm operates 365 days/yr.</t>
  </si>
  <si>
    <t>Average Order Value (AOV)</t>
  </si>
  <si>
    <t>₹</t>
  </si>
  <si>
    <t>FY25 = ₹550 (Palicha BS Nov24: ₹450→₹540-550 thru 2024). Growth via mix shift to BPC, electronics. Blinkit FY25 AOV=₹667 (Eternal AR).</t>
  </si>
  <si>
    <t>Total orders (mn)</t>
  </si>
  <si>
    <t>mn</t>
  </si>
  <si>
    <t xml:space="preserve">  stores × Orders/day × 365 / 1,000,000</t>
  </si>
  <si>
    <t>GROSS ORDER VALUE (GOV)</t>
  </si>
  <si>
    <t>₹ Cr</t>
  </si>
  <si>
    <t xml:space="preserve">   YoY growth</t>
  </si>
  <si>
    <t>B.  REVENUE RECOGNITION RATES  (% of GOV)</t>
  </si>
  <si>
    <t>(−) Platform-borne discount % of GOV</t>
  </si>
  <si>
    <t>%</t>
  </si>
  <si>
    <t>Zepto pays this from own pocket. Blinkit FY25 GOV ₹28.3K Cr vs NOV ₹22.4K Cr = 21% gap (per Medianama). Zepto 2-yr behind on discount maturity, then converges.</t>
  </si>
  <si>
    <t>Medianama Jul 25 (Eternal FY25 AR)</t>
  </si>
  <si>
    <t>Ad revenue % of GOV (take rate)</t>
  </si>
  <si>
    <t>Subscription % of GOV (Zepto Pass)</t>
  </si>
  <si>
    <t>Zepto Pass at ₹19-299/month. Palicha BS Nov24: 6M Pass subscribers. NOTE: YourStory Feb26 reports Zepto Daily discontinued — model assumes Pass survives at lower price point.</t>
  </si>
  <si>
    <t>Delivery + other revenue % of GOV</t>
  </si>
  <si>
    <t>C.  REVENUE BUILD</t>
  </si>
  <si>
    <t>(−) Platform-borne discount (₹ Cr)</t>
  </si>
  <si>
    <t xml:space="preserve">  -gov × discount rate</t>
  </si>
  <si>
    <t>Net Product Sales (NPS)</t>
  </si>
  <si>
    <t xml:space="preserve">  gov − Discount. What customers actually pay for products.</t>
  </si>
  <si>
    <t>Ad Revenue (₹ Cr)</t>
  </si>
  <si>
    <t xml:space="preserve">  gov × ad %</t>
  </si>
  <si>
    <t>Subscription Revenue (₹ Cr)</t>
  </si>
  <si>
    <t xml:space="preserve">  gov × subscription %</t>
  </si>
  <si>
    <t>Delivery + Other Revenue (₹ Cr)</t>
  </si>
  <si>
    <t xml:space="preserve">  gov × other %</t>
  </si>
  <si>
    <t>TOTAL REVENUE</t>
  </si>
  <si>
    <t xml:space="preserve">   Revenue as % of GOV</t>
  </si>
  <si>
    <t>D.  COST RATES</t>
  </si>
  <si>
    <t>Product Gross Margin (% of NPS)</t>
  </si>
  <si>
    <t>Entrackr Dec 24 (FY24 financials)</t>
  </si>
  <si>
    <t>Dark store ops % of GOV</t>
  </si>
  <si>
    <t>Logistics % of GOV</t>
  </si>
  <si>
    <t>Last-mile delivery. FY24 actual: ₹580 Cr / GOV ~₹8K Cr ≈ 7-8%. Per-order ~₹50 (industry benchmark). Ratio drops as AOV grows ₹550→₹900.</t>
  </si>
  <si>
    <t>Marketing % of GOV</t>
  </si>
  <si>
    <t>CAC dynamic. FY24 actual: ₹303 Cr ads / GOV ≈ 3.8% (pre-spike). FY25 elevated post MAU dip 5.5→4.9mn (BS Sensor Tower). Decays as base matures.</t>
  </si>
  <si>
    <t>BS Mar 24 (Sensor Tower MAU)</t>
  </si>
  <si>
    <t>Tech &amp; Corporate % of GOV</t>
  </si>
  <si>
    <t>Business Today Dec 24 (FY24 line items)</t>
  </si>
  <si>
    <t>E.  P&amp;L  (Q-comm convention)</t>
  </si>
  <si>
    <t>Total Revenue</t>
  </si>
  <si>
    <t>From Section C</t>
  </si>
  <si>
    <t>(−) COGS (procurement only)</t>
  </si>
  <si>
    <t xml:space="preserve">  -nps × (1 - GM%). Applied to NPS, not Total Revenue.</t>
  </si>
  <si>
    <t>GROSS PROFIT</t>
  </si>
  <si>
    <t xml:space="preserve">  total revenue − COGS</t>
  </si>
  <si>
    <t xml:space="preserve">   Gross margin %</t>
  </si>
  <si>
    <t>Looks high — Q-comm convention (DSO + logistics below GP)</t>
  </si>
  <si>
    <t>(−) Dark store ops</t>
  </si>
  <si>
    <t xml:space="preserve">  -gov × dark store ops % (Section D)</t>
  </si>
  <si>
    <t>(−) Logistics</t>
  </si>
  <si>
    <t xml:space="preserve">  -gov × logistics % (Section D)</t>
  </si>
  <si>
    <t>CONTRIBUTION PROFIT</t>
  </si>
  <si>
    <t xml:space="preserve">  gp − Dark store ops − Logistics. KEY METRIC for Q-comm.</t>
  </si>
  <si>
    <t xml:space="preserve">   Contribution margin % (of Revenue)</t>
  </si>
  <si>
    <t>Blinkit Q4 FY26 contribution = 5.4% of NOV (Eternal SH Letter)</t>
  </si>
  <si>
    <t>Eternal Q4 FY26 SH Letter (Blinkit comps)</t>
  </si>
  <si>
    <t>(−) Marketing</t>
  </si>
  <si>
    <t xml:space="preserve">  -gov × marketing %</t>
  </si>
  <si>
    <t>(−) Tech &amp; Corporate</t>
  </si>
  <si>
    <t xml:space="preserve">  -gov × T&amp;C %</t>
  </si>
  <si>
    <t>EBITDA</t>
  </si>
  <si>
    <t xml:space="preserve">  contribution − Marketing − T&amp;C</t>
  </si>
  <si>
    <t xml:space="preserve">   EBITDA margin % (of Revenue)</t>
  </si>
  <si>
    <t>FY24 actual: -23.8% (Entrackr); FY28 breakeven targeted</t>
  </si>
  <si>
    <t>F.  PER-ORDER UNIT ECONOMICS  (₹ per order)</t>
  </si>
  <si>
    <t xml:space="preserve">   Memo: Total orders (mn)</t>
  </si>
  <si>
    <t>Revenue per order</t>
  </si>
  <si>
    <t>₹/order</t>
  </si>
  <si>
    <t>Revenue ÷ Orders (mn) × 10</t>
  </si>
  <si>
    <t>(−) COGS per order</t>
  </si>
  <si>
    <t>GROSS PROFIT per order</t>
  </si>
  <si>
    <t>(−) Dark store ops per order</t>
  </si>
  <si>
    <t>(−) Logistics per order</t>
  </si>
  <si>
    <t>Industry: ₹40-50/order rider cost</t>
  </si>
  <si>
    <t>CONTRIBUTION per order</t>
  </si>
  <si>
    <t>KEY: positive from FY25 in this build</t>
  </si>
  <si>
    <t>(−) Marketing per order</t>
  </si>
  <si>
    <t>Effective CAC per delivery</t>
  </si>
  <si>
    <t>(−) Tech &amp; Corporate per order</t>
  </si>
  <si>
    <t>EBITDA per order</t>
  </si>
  <si>
    <t>G.  CAPEX</t>
  </si>
  <si>
    <t>Dark stores (year-end)</t>
  </si>
  <si>
    <t>Year-end count. Outlook Nov25: "a few hundred more stores next year". JP Morgan Feb26: 1,147 stores.</t>
  </si>
  <si>
    <t>Outlook Nov 25 (1.7M orders/day)</t>
  </si>
  <si>
    <t xml:space="preserve">   Net new stores added</t>
  </si>
  <si>
    <t>Δ in year-end store count</t>
  </si>
  <si>
    <t>Capex per new store (₹ Cr)</t>
  </si>
  <si>
    <t>New store capex</t>
  </si>
  <si>
    <t xml:space="preserve">  net new stores × Capex/store</t>
  </si>
  <si>
    <t>Maintenance + tech capex (1% of Revenue)</t>
  </si>
  <si>
    <t>Industry std: ~1% of revenue for refresh + tech</t>
  </si>
  <si>
    <t>TOTAL CAPEX</t>
  </si>
  <si>
    <t>Cross-check: Blinkit FY26 capex ₹1,746 Cr = 3.6% of NOV (Eternal SH Letter)</t>
  </si>
  <si>
    <t>H.  WORKING CAPITAL  (supplier float)</t>
  </si>
  <si>
    <t>Inventory days</t>
  </si>
  <si>
    <t>Blinkit Q4 FY26: ₹2,181 Cr inv / ₹32K Cr COGS × 365 = 25 days. Zepto lower (grocery rotation faster).</t>
  </si>
  <si>
    <t>Trade payable days</t>
  </si>
  <si>
    <t>Blinkit Q4 FY26: 34 days. FMCG industry std 30-45 days.</t>
  </si>
  <si>
    <t>AR days</t>
  </si>
  <si>
    <t>Customer pays at order; payment gateway T+2 settlement.</t>
  </si>
  <si>
    <t xml:space="preserve">   Net days (Inv + AR − Payables)</t>
  </si>
  <si>
    <t>NEGATIVE = supplier float financing the business</t>
  </si>
  <si>
    <t>Inventory (₹ Cr)</t>
  </si>
  <si>
    <t xml:space="preserve">  cogs × Inv days / 365</t>
  </si>
  <si>
    <t>Trade payables (₹ Cr)</t>
  </si>
  <si>
    <t xml:space="preserve">  cogs × AP days / 365</t>
  </si>
  <si>
    <t>Trade receivables (₹ Cr)</t>
  </si>
  <si>
    <t xml:space="preserve">  revenue × AR days / 365</t>
  </si>
  <si>
    <t>NET WORKING CAPITAL</t>
  </si>
  <si>
    <t>NEGATIVE = source of cash (suppliers fund the network)</t>
  </si>
  <si>
    <t xml:space="preserve">   Change in NWC</t>
  </si>
  <si>
    <t>+ve = cash absorbed; -ve = float released</t>
  </si>
  <si>
    <t>I.  FREE CASH FLOW (FCFF)</t>
  </si>
  <si>
    <t>From Section E</t>
  </si>
  <si>
    <t>Approximation: depreciation on accumulated capex (5-yr useful life avg)</t>
  </si>
  <si>
    <t>EBIT</t>
  </si>
  <si>
    <t xml:space="preserve">  ebitda − D&amp;A</t>
  </si>
  <si>
    <t xml:space="preserve">   Tax rate (NOLs absorb through FY28)</t>
  </si>
  <si>
    <t>Zero through FY28 (accumulated NOLs absorb income). Steady state India corp tax 25.17%.</t>
  </si>
  <si>
    <t>Damodaran (ERP/g rate)</t>
  </si>
  <si>
    <t>(−) Cash tax on EBIT</t>
  </si>
  <si>
    <t xml:space="preserve">  MAX(0, ebit) × tax rate</t>
  </si>
  <si>
    <t>NOPAT</t>
  </si>
  <si>
    <t xml:space="preserve">  ebit × (1 − tax rate)</t>
  </si>
  <si>
    <t>(+) D&amp;A add-back (non-cash)</t>
  </si>
  <si>
    <t>Non-cash item — added back</t>
  </si>
  <si>
    <t>(−) Capex</t>
  </si>
  <si>
    <t>From Section G</t>
  </si>
  <si>
    <t>(−) Change in NWC</t>
  </si>
  <si>
    <t>-ΔNWC: NWC becoming more negative = cash IN</t>
  </si>
  <si>
    <t>FCFF</t>
  </si>
  <si>
    <t xml:space="preserve">  nopat + d&amp;a + capex + δnwc</t>
  </si>
  <si>
    <t xml:space="preserve">   FCFF margin %</t>
  </si>
  <si>
    <t>J.  WACC</t>
  </si>
  <si>
    <t>Risk-free rate (10Y G-Sec)</t>
  </si>
  <si>
    <t>RBI 10Y G-Sec auction yield May 26</t>
  </si>
  <si>
    <t>RBI 10Y G-Sec</t>
  </si>
  <si>
    <t>Equity risk premium</t>
  </si>
  <si>
    <t>Damodaran India ERP (Jan 26): mature 4.6% + India CRP 2.9%</t>
  </si>
  <si>
    <t>Levered Beta</t>
  </si>
  <si>
    <t>Eternal levered β ~1.55 (NSE 2Y); premium for Zepto pre-profit + illiquidity</t>
  </si>
  <si>
    <t>NSE Eternal</t>
  </si>
  <si>
    <t>Size premium</t>
  </si>
  <si>
    <t>COST OF EQUITY (CAPM)</t>
  </si>
  <si>
    <t xml:space="preserve">  rf + β × ERP + Size premium</t>
  </si>
  <si>
    <t>Pre-tax cost of debt</t>
  </si>
  <si>
    <t>India BBB startup borrowing: G-Sec + 350bps spread</t>
  </si>
  <si>
    <t>Tax rate</t>
  </si>
  <si>
    <t>India corp tax (25% + surcharge + cess for &gt;₹400 Cr revenue)</t>
  </si>
  <si>
    <t>AFTER-TAX COST OF DEBT</t>
  </si>
  <si>
    <t xml:space="preserve">  pre-tax × (1 − tax)</t>
  </si>
  <si>
    <t>Equity weight</t>
  </si>
  <si>
    <t>Zepto ~₹14,400 Cr equity raised; minimal debt outside leases (BS Oct25)</t>
  </si>
  <si>
    <t>BS Oct 25 ($7B round)</t>
  </si>
  <si>
    <t>Debt weight</t>
  </si>
  <si>
    <t>WACC</t>
  </si>
  <si>
    <t xml:space="preserve">  (e/v × Ke) + (D/V × Kd))</t>
  </si>
  <si>
    <t>K.  DCF VALUATION</t>
  </si>
  <si>
    <t>From Section I</t>
  </si>
  <si>
    <t>Discount period (mid-year)</t>
  </si>
  <si>
    <t>years</t>
  </si>
  <si>
    <t>Discount factor</t>
  </si>
  <si>
    <t>×</t>
  </si>
  <si>
    <t xml:space="preserve">  1/(1+wacc)^period</t>
  </si>
  <si>
    <t>PV of FCFF</t>
  </si>
  <si>
    <t xml:space="preserve">  fcff × discount factor</t>
  </si>
  <si>
    <t>Sum of PV (explicit forecast)</t>
  </si>
  <si>
    <t>Terminal growth rate (g)</t>
  </si>
  <si>
    <t>India nominal GDP long-term ~5-6%</t>
  </si>
  <si>
    <t>Terminal FCFF (FY30 × (1+g))</t>
  </si>
  <si>
    <t>Terminal Value (Gordon growth)</t>
  </si>
  <si>
    <t xml:space="preserve">  terminal fcff / (wacc − g))</t>
  </si>
  <si>
    <t>PV of Terminal Value</t>
  </si>
  <si>
    <t xml:space="preserve">  tv × FY30 discount factor</t>
  </si>
  <si>
    <t>ENTERPRISE VALUE</t>
  </si>
  <si>
    <t xml:space="preserve">  sum pv + pv of tv</t>
  </si>
  <si>
    <t>(−) Net debt (lease + minor)</t>
  </si>
  <si>
    <t>Token amount — Zepto is equity-funded</t>
  </si>
  <si>
    <t>(+) Cash &amp; investments</t>
  </si>
  <si>
    <t>BS Oct25: $900M net cash post round ≈ ₹7,470 Cr</t>
  </si>
  <si>
    <t>EQUITY VALUE</t>
  </si>
  <si>
    <t>L.  RELATIVE VALUATION</t>
  </si>
  <si>
    <t xml:space="preserve">  Trading Multiples (public peers)</t>
  </si>
  <si>
    <t>Company</t>
  </si>
  <si>
    <t>Geo</t>
  </si>
  <si>
    <t>EV ($B)</t>
  </si>
  <si>
    <t>FY26E Rev ($B)</t>
  </si>
  <si>
    <t>EV / Rev</t>
  </si>
  <si>
    <t>EV / GOV</t>
  </si>
  <si>
    <t>Notes</t>
  </si>
  <si>
    <t>Eternal (Zomato)</t>
  </si>
  <si>
    <t>India</t>
  </si>
  <si>
    <t>NSE</t>
  </si>
  <si>
    <t>Swiggy</t>
  </si>
  <si>
    <t>NSE post-IPO</t>
  </si>
  <si>
    <t>NSE Swiggy</t>
  </si>
  <si>
    <t>DoorDash</t>
  </si>
  <si>
    <t>US</t>
  </si>
  <si>
    <t>NYSE: DASH</t>
  </si>
  <si>
    <t>Meituan QC</t>
  </si>
  <si>
    <t>China</t>
  </si>
  <si>
    <t>HK 3690 segment</t>
  </si>
  <si>
    <t>Median (India peers)</t>
  </si>
  <si>
    <t>Implied Zepto EV @ India peer EV/Rev</t>
  </si>
  <si>
    <t xml:space="preserve">  zepto FY26 rev × India peer median EV/Rev</t>
  </si>
  <si>
    <t>Implied Zepto EV @ India peer EV/GOV</t>
  </si>
  <si>
    <t xml:space="preserve">  zepto FY26 gov × India peer median EV/GOV</t>
  </si>
  <si>
    <t xml:space="preserve">  Transaction Multiples (recent Q-comm rounds)</t>
  </si>
  <si>
    <t>Transaction</t>
  </si>
  <si>
    <t>Date</t>
  </si>
  <si>
    <t>Valuation ($B)</t>
  </si>
  <si>
    <t>Implied Rev ($B)</t>
  </si>
  <si>
    <t>Zepto Series G (CalPERS)</t>
  </si>
  <si>
    <t>Oct 2025</t>
  </si>
  <si>
    <t>BS Oct25</t>
  </si>
  <si>
    <t>Zepto Series F</t>
  </si>
  <si>
    <t>Nov 2024</t>
  </si>
  <si>
    <t>TechCrunch / Inc42</t>
  </si>
  <si>
    <t>Zepto Series E</t>
  </si>
  <si>
    <t>Jun 2024</t>
  </si>
  <si>
    <t>Inc42</t>
  </si>
  <si>
    <t>Zomato acq Blinkit</t>
  </si>
  <si>
    <t>Jun 2022</t>
  </si>
  <si>
    <t>Zomato annc</t>
  </si>
  <si>
    <t>Swiggy IPO</t>
  </si>
  <si>
    <t>Pre-IPO</t>
  </si>
  <si>
    <t>Median transaction multiple</t>
  </si>
  <si>
    <t>Implied Zepto EV @ transaction median</t>
  </si>
  <si>
    <t xml:space="preserve">  Football Field — Concluded Valuation Range</t>
  </si>
  <si>
    <t>Methodology</t>
  </si>
  <si>
    <t>Low ($B)</t>
  </si>
  <si>
    <t>Mid ($B)</t>
  </si>
  <si>
    <t>High ($B)</t>
  </si>
  <si>
    <t>Comment</t>
  </si>
  <si>
    <t>DCF (WACC ±2%)</t>
  </si>
  <si>
    <t>WACC sensitivity ±2%</t>
  </si>
  <si>
    <t>Trading EV/Revenue (India peers)</t>
  </si>
  <si>
    <t>India peer median ±20%</t>
  </si>
  <si>
    <t>Trading EV/GOV (India peers)</t>
  </si>
  <si>
    <t>Transaction multiples</t>
  </si>
  <si>
    <t>Recent Q-comm rounds ±20%</t>
  </si>
  <si>
    <t>CONCLUDED RANGE</t>
  </si>
  <si>
    <t>Cross-check: Zepto Oct25 round = $7B (CalPERS-led, BS)</t>
  </si>
  <si>
    <t>FY25 blended (mature ~1,500 + ramping ~700). Anchors: 700K/550=1,273 (Entrackr Dec24), 900K/600=1,500 (Palicha BS Nov24), 1.7M/1,147=1,482 (Outlook Nov25). Blinkit Q4 FY26 blended=1,341 (Eternal).</t>
  </si>
  <si>
    <t>Orders per day Dec24</t>
  </si>
  <si>
    <t>Orders per day Oct25</t>
  </si>
  <si>
    <t>#</t>
  </si>
  <si>
    <t xml:space="preserve">Apr 2025 $200M Ad revenue </t>
  </si>
  <si>
    <t>Zepto Atom retail media. Apr 25 Ad Rev -&gt; $200M / $4B Gov.</t>
  </si>
  <si>
    <t>Eternal blended Delivery+platform fee (2.15%)</t>
  </si>
  <si>
    <t>LOGNORMAL TRIANGULATION: Order values ~ LogN(μ, σ²) with E[X]=AOV ₹550, σ=0.7 → implied median ₹431, 6.6% of orders below ₹150. At ₹30 fee × 6.6% of orders ≈ 0.36% of GOV from delivery fee alone. Add Pass + premium delivery + packaging recoveries → 0.8% FY25 ramping to 1.2% FY30.</t>
  </si>
  <si>
    <t xml:space="preserve">Projections based on the report and then extrapolated to 2030 assuming 26% market share for zepto in line with current market share </t>
  </si>
  <si>
    <t>Qcomm Report till Y28</t>
  </si>
  <si>
    <t>Engineering + HQ + Finance + Legal. FY24 actual: employee ₹426 + IT ₹116 + other ₹348 = ₹890 Cr / GOV ≈ 11% blended. 800-900 layoffs late FY26 (Inc42) trim corporate. FY25 headcount -&gt;17.6, FY24-&gt;14.1. Assuming similar increase in overall spend we come up with 8.9%</t>
  </si>
  <si>
    <t>Applied to NPS, not GOV. FY24 actual = 12.4% (Entrackr: ₹492 Cr GP / ₹3,973 Cr NPS).</t>
  </si>
  <si>
    <t>Rent + pickers + electricity. FY24 actual: ₹493 Cr / GOV ~₹8K Cr ≈ 6% (inferred). This was with ~400 dark stores which increased to 650</t>
  </si>
  <si>
    <t>Avg dark store cost of 1.2 adjusted for inflation (4.6%)</t>
  </si>
  <si>
    <t>Pre-IPO illiquidity discount</t>
  </si>
  <si>
    <t>(−) D&amp;A @ 2.5% GOV</t>
  </si>
  <si>
    <t xml:space="preserve">   Equity Value ($B at ₹96/USD)</t>
  </si>
  <si>
    <t>Zepto FY26E Revenue (cr)</t>
  </si>
  <si>
    <t>Zepto FY26E GOV (cr)</t>
  </si>
  <si>
    <t>NSE Eternal - Blended revenue so not accurate</t>
  </si>
  <si>
    <t xml:space="preserve">NSE Swiggy -  Blended Revenue so not accurate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</si>
</sst>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\₹#,##0"/>
    <numFmt numFmtId="165" formatCode="\$0.0\B"/>
    <numFmt numFmtId="166" formatCode="0.0%"/>
    <numFmt numFmtId="167" formatCode="#,##0;\(#,##0\);\-"/>
    <numFmt numFmtId="168" formatCode="0.0%;\(0.0%\);\-"/>
    <numFmt numFmtId="169" formatCode="0.0"/>
    <numFmt numFmtId="170" formatCode="0.000"/>
    <numFmt numFmtId="171" formatCode="0.00\x"/>
    <numFmt numFmtId="172" formatCode="0.0\x"/>
  </numFmts>
  <fonts count="19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i/>
      <sz val="9"/>
      <color rgb="FFFFFFFF"/>
      <name val="Calibri"/>
      <charset val="1"/>
    </font>
    <font>
      <b/>
      <sz val="10"/>
      <color rgb="FF000000"/>
      <name val="Calibri"/>
      <charset val="1"/>
    </font>
    <font>
      <b/>
      <sz val="10"/>
      <color rgb="FFFFFFFF"/>
      <name val="Calibri"/>
      <charset val="1"/>
    </font>
    <font>
      <sz val="10"/>
      <color rgb="FF000000"/>
      <name val="Calibri"/>
      <charset val="1"/>
    </font>
    <font>
      <sz val="10"/>
      <color rgb="FF0000FF"/>
      <name val="Calibri"/>
      <charset val="1"/>
    </font>
    <font>
      <i/>
      <sz val="9"/>
      <color rgb="FF595959"/>
      <name val="Calibri"/>
      <charset val="1"/>
    </font>
    <font>
      <i/>
      <sz val="9"/>
      <color rgb="FF1F4E79"/>
      <name val="Calibri"/>
      <charset val="1"/>
    </font>
    <font>
      <u/>
      <sz val="9"/>
      <color rgb="FF0563C1"/>
      <name val="Calibri"/>
      <charset val="1"/>
    </font>
    <font>
      <b/>
      <sz val="10"/>
      <color rgb="FF0000FF"/>
      <name val="Calibri"/>
      <charset val="1"/>
    </font>
    <font>
      <b/>
      <sz val="10"/>
      <color rgb="FF1F3864"/>
      <name val="Calibri"/>
      <charset val="1"/>
    </font>
    <font>
      <i/>
      <sz val="9"/>
      <color rgb="FFC00000"/>
      <name val="Calibri"/>
    </font>
    <font>
      <sz val="10"/>
      <color theme="1"/>
      <name val="Calibri"/>
      <family val="2"/>
    </font>
    <font>
      <i/>
      <sz val="9"/>
      <color rgb="FF1F4E79"/>
      <name val="Calibri"/>
      <family val="2"/>
    </font>
    <font>
      <b/>
      <sz val="10"/>
      <color rgb="FF0000FF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u/>
      <sz val="9"/>
      <color rgb="FF0563C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305496"/>
        <bgColor rgb="FF1F4E79"/>
      </patternFill>
    </fill>
    <fill>
      <patternFill patternType="solid">
        <fgColor rgb="FFD9E1F2"/>
        <bgColor rgb="FFC6E0B4"/>
      </patternFill>
    </fill>
    <fill>
      <patternFill patternType="solid">
        <fgColor rgb="FFB4C7E7"/>
        <bgColor rgb="FF99CCFF"/>
      </patternFill>
    </fill>
    <fill>
      <patternFill patternType="solid">
        <fgColor rgb="FFC6E0B4"/>
        <bgColor rgb="FFD9E1F2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5" fillId="0" borderId="0" xfId="0" applyFont="1"/>
    <xf numFmtId="3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164" fontId="6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3" fillId="5" borderId="2" xfId="0" applyFont="1" applyFill="1" applyBorder="1"/>
    <xf numFmtId="3" fontId="3" fillId="5" borderId="2" xfId="0" applyNumberFormat="1" applyFont="1" applyFill="1" applyBorder="1" applyAlignment="1">
      <alignment horizontal="center" vertical="center"/>
    </xf>
    <xf numFmtId="0" fontId="7" fillId="0" borderId="0" xfId="0" applyFont="1"/>
    <xf numFmtId="9" fontId="7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0" fontId="3" fillId="4" borderId="2" xfId="0" applyFont="1" applyFill="1" applyBorder="1"/>
    <xf numFmtId="3" fontId="3" fillId="4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/>
    <xf numFmtId="3" fontId="3" fillId="6" borderId="2" xfId="0" applyNumberFormat="1" applyFont="1" applyFill="1" applyBorder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67" fontId="3" fillId="5" borderId="2" xfId="0" applyNumberFormat="1" applyFont="1" applyFill="1" applyBorder="1" applyAlignment="1">
      <alignment horizontal="center" vertical="center"/>
    </xf>
    <xf numFmtId="168" fontId="7" fillId="0" borderId="0" xfId="0" applyNumberFormat="1" applyFont="1" applyAlignment="1">
      <alignment horizontal="center" vertical="center"/>
    </xf>
    <xf numFmtId="167" fontId="3" fillId="6" borderId="2" xfId="0" applyNumberFormat="1" applyFont="1" applyFill="1" applyBorder="1" applyAlignment="1">
      <alignment horizontal="center" vertical="center"/>
    </xf>
    <xf numFmtId="0" fontId="3" fillId="0" borderId="0" xfId="0" applyFont="1"/>
    <xf numFmtId="168" fontId="3" fillId="6" borderId="0" xfId="0" applyNumberFormat="1" applyFont="1" applyFill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167" fontId="3" fillId="4" borderId="2" xfId="0" applyNumberFormat="1" applyFont="1" applyFill="1" applyBorder="1" applyAlignment="1">
      <alignment horizontal="center" vertical="center"/>
    </xf>
    <xf numFmtId="0" fontId="3" fillId="4" borderId="0" xfId="0" applyFont="1" applyFill="1"/>
    <xf numFmtId="10" fontId="3" fillId="4" borderId="0" xfId="0" applyNumberFormat="1" applyFont="1" applyFill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0" fontId="3" fillId="6" borderId="2" xfId="0" applyNumberFormat="1" applyFont="1" applyFill="1" applyBorder="1" applyAlignment="1">
      <alignment horizontal="center" vertical="center"/>
    </xf>
    <xf numFmtId="169" fontId="6" fillId="0" borderId="0" xfId="0" applyNumberFormat="1" applyFont="1" applyAlignment="1">
      <alignment horizontal="center" vertical="center"/>
    </xf>
    <xf numFmtId="170" fontId="5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8" fillId="0" borderId="0" xfId="0" applyFont="1"/>
    <xf numFmtId="3" fontId="3" fillId="0" borderId="0" xfId="0" applyNumberFormat="1" applyFont="1" applyAlignment="1">
      <alignment horizontal="center" vertical="center"/>
    </xf>
    <xf numFmtId="3" fontId="3" fillId="4" borderId="0" xfId="0" applyNumberFormat="1" applyFont="1" applyFill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69" fontId="6" fillId="0" borderId="1" xfId="0" applyNumberFormat="1" applyFont="1" applyBorder="1" applyAlignment="1">
      <alignment horizontal="center" vertical="center"/>
    </xf>
    <xf numFmtId="171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1" fontId="3" fillId="5" borderId="2" xfId="0" applyNumberFormat="1" applyFont="1" applyFill="1" applyBorder="1" applyAlignment="1">
      <alignment horizontal="center" vertical="center"/>
    </xf>
    <xf numFmtId="172" fontId="6" fillId="0" borderId="1" xfId="0" applyNumberFormat="1" applyFont="1" applyBorder="1" applyAlignment="1">
      <alignment horizontal="center" vertical="center"/>
    </xf>
    <xf numFmtId="172" fontId="3" fillId="5" borderId="2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12" fillId="0" borderId="0" xfId="0" applyFont="1" applyAlignment="1">
      <alignment horizontal="left" vertical="center" wrapText="1"/>
    </xf>
    <xf numFmtId="166" fontId="13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3" fontId="13" fillId="0" borderId="0" xfId="0" applyNumberFormat="1" applyFont="1" applyAlignment="1">
      <alignment horizontal="center" vertical="center"/>
    </xf>
    <xf numFmtId="0" fontId="15" fillId="0" borderId="0" xfId="0" applyFont="1"/>
    <xf numFmtId="0" fontId="16" fillId="0" borderId="0" xfId="0" applyFont="1"/>
    <xf numFmtId="164" fontId="17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3" fillId="6" borderId="2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6" borderId="0" xfId="0" applyFont="1" applyFill="1"/>
    <xf numFmtId="0" fontId="4" fillId="3" borderId="0" xfId="0" applyFont="1" applyFill="1" applyAlignment="1">
      <alignment horizontal="left" vertical="center"/>
    </xf>
    <xf numFmtId="0" fontId="11" fillId="4" borderId="0" xfId="0" applyFont="1" applyFill="1"/>
    <xf numFmtId="0" fontId="7" fillId="0" borderId="0" xfId="0" applyFont="1"/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1F4E7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usinesstoday.in/latest/corporate/story/zepto-fy24-results-revenue-doubles-to-rs-4454-cr-from-rs-2026-cr-in-fy23-457317-2024-12-14" TargetMode="External"/><Relationship Id="rId18" Type="http://schemas.openxmlformats.org/officeDocument/2006/relationships/hyperlink" Target="https://www.eternal.com/investor-relations" TargetMode="External"/><Relationship Id="rId26" Type="http://schemas.openxmlformats.org/officeDocument/2006/relationships/hyperlink" Target="https://pages.stern.nyu.edu/~adamodar/" TargetMode="External"/><Relationship Id="rId21" Type="http://schemas.openxmlformats.org/officeDocument/2006/relationships/hyperlink" Target="https://www.eternal.com/investor-relations" TargetMode="External"/><Relationship Id="rId34" Type="http://schemas.openxmlformats.org/officeDocument/2006/relationships/hyperlink" Target="https://www.business-standard.com/companies/start-ups/quick-commerce-major-zepto-raises-450-mn-valuation-soars-to-7-bn-125101601049_1.html" TargetMode="External"/><Relationship Id="rId7" Type="http://schemas.openxmlformats.org/officeDocument/2006/relationships/hyperlink" Target="https://www.business-standard.com/companies/interviews/dark-stores-turning-profitable-rapidly-says-zepto-ceo-aadit-palicha-124112400552_1.html" TargetMode="External"/><Relationship Id="rId12" Type="http://schemas.openxmlformats.org/officeDocument/2006/relationships/hyperlink" Target="https://www.business-standard.com/companies/news/a-battle-of-delivery-speeds-blinkit-zepto-ignite-quick-commerce-firestorm-124031700412_1.html" TargetMode="External"/><Relationship Id="rId17" Type="http://schemas.openxmlformats.org/officeDocument/2006/relationships/hyperlink" Target="https://www.eternal.com/investor-relations" TargetMode="External"/><Relationship Id="rId25" Type="http://schemas.openxmlformats.org/officeDocument/2006/relationships/hyperlink" Target="https://www.nseindia.com/get-quotes/equity?symbol=ETERNAL" TargetMode="External"/><Relationship Id="rId33" Type="http://schemas.openxmlformats.org/officeDocument/2006/relationships/hyperlink" Target="https://www.nseindia.com/get-quotes/equity?symbol=SWIGGY" TargetMode="External"/><Relationship Id="rId2" Type="http://schemas.openxmlformats.org/officeDocument/2006/relationships/hyperlink" Target="https://www.business-standard.com/companies/interviews/dark-stores-turning-profitable-rapidly-says-zepto-ceo-aadit-palicha-124112400552_1.html" TargetMode="External"/><Relationship Id="rId16" Type="http://schemas.openxmlformats.org/officeDocument/2006/relationships/hyperlink" Target="https://www.outlookbusiness.com/start-up/zepto-revives-ipo-plans-amid-heavy-cash-burn-heres-all-we-know" TargetMode="External"/><Relationship Id="rId20" Type="http://schemas.openxmlformats.org/officeDocument/2006/relationships/hyperlink" Target="https://www.eternal.com/investor-relations" TargetMode="External"/><Relationship Id="rId29" Type="http://schemas.openxmlformats.org/officeDocument/2006/relationships/hyperlink" Target="https://www.business-standard.com/companies/start-ups/quick-commerce-major-zepto-raises-450-mn-valuation-soars-to-7-bn-125101601049_1.html" TargetMode="External"/><Relationship Id="rId1" Type="http://schemas.openxmlformats.org/officeDocument/2006/relationships/hyperlink" Target="https://inc42.com/buzz/moderating-dark-store-additions-likely-to-help-zepto-contain-q4-quick-commerce-burn-jp-morgan/" TargetMode="External"/><Relationship Id="rId6" Type="http://schemas.openxmlformats.org/officeDocument/2006/relationships/hyperlink" Target="https://www.bwmarketingworld.com/article/zeptos-ad-revenue-soars-5x-reaching-200-million-arr-in-one-year-says-aadit-palicha-554426" TargetMode="External"/><Relationship Id="rId11" Type="http://schemas.openxmlformats.org/officeDocument/2006/relationships/hyperlink" Target="https://entrackr.com/fintrackr/zepto-spent-rs-5747-cr-to-earn-rs-4454-cr-in-fy24-8438575" TargetMode="External"/><Relationship Id="rId24" Type="http://schemas.openxmlformats.org/officeDocument/2006/relationships/hyperlink" Target="https://pages.stern.nyu.edu/~adamodar/" TargetMode="External"/><Relationship Id="rId32" Type="http://schemas.openxmlformats.org/officeDocument/2006/relationships/hyperlink" Target="https://www.nseindia.com/get-quotes/equity?symbol=ETERNAL" TargetMode="External"/><Relationship Id="rId37" Type="http://schemas.openxmlformats.org/officeDocument/2006/relationships/hyperlink" Target="https://www.careratings.com/uploads/newsfiles/1752146049_India%E2%80%99s%20Q-commerce%20Market%20-%20CareEdge%20Advisory%20Report.pdf" TargetMode="External"/><Relationship Id="rId5" Type="http://schemas.openxmlformats.org/officeDocument/2006/relationships/hyperlink" Target="https://www.medianama.com/2025/07/223-eternal-fy25-annual-report-highlights-zomato-blinkit/" TargetMode="External"/><Relationship Id="rId15" Type="http://schemas.openxmlformats.org/officeDocument/2006/relationships/hyperlink" Target="https://entrackr.com/fintrackr/zepto-spent-rs-5747-cr-to-earn-rs-4454-cr-in-fy24-8438575" TargetMode="External"/><Relationship Id="rId23" Type="http://schemas.openxmlformats.org/officeDocument/2006/relationships/hyperlink" Target="https://www.rbi.org.in/Scripts/QuarterlyPublications.aspx" TargetMode="External"/><Relationship Id="rId28" Type="http://schemas.openxmlformats.org/officeDocument/2006/relationships/hyperlink" Target="https://pages.stern.nyu.edu/~adamodar/" TargetMode="External"/><Relationship Id="rId36" Type="http://schemas.openxmlformats.org/officeDocument/2006/relationships/hyperlink" Target="https://www.business-standard.com/companies/start-ups/quick-commerce-major-zepto-raises-450-mn-valuation-soars-to-7-bn-125101601049_1.html" TargetMode="External"/><Relationship Id="rId10" Type="http://schemas.openxmlformats.org/officeDocument/2006/relationships/hyperlink" Target="https://entrackr.com/fintrackr/zepto-spent-rs-5747-cr-to-earn-rs-4454-cr-in-fy24-8438575" TargetMode="External"/><Relationship Id="rId19" Type="http://schemas.openxmlformats.org/officeDocument/2006/relationships/hyperlink" Target="https://www.eternal.com/investor-relations" TargetMode="External"/><Relationship Id="rId31" Type="http://schemas.openxmlformats.org/officeDocument/2006/relationships/hyperlink" Target="https://www.business-standard.com/companies/start-ups/quick-commerce-major-zepto-raises-450-mn-valuation-soars-to-7-bn-125101601049_1.html" TargetMode="External"/><Relationship Id="rId4" Type="http://schemas.openxmlformats.org/officeDocument/2006/relationships/hyperlink" Target="https://www.business-standard.com/companies/interviews/dark-stores-turning-profitable-rapidly-says-zepto-ceo-aadit-palicha-124112400552_1.html" TargetMode="External"/><Relationship Id="rId9" Type="http://schemas.openxmlformats.org/officeDocument/2006/relationships/hyperlink" Target="https://entrackr.com/fintrackr/zepto-spent-rs-5747-cr-to-earn-rs-4454-cr-in-fy24-8438575" TargetMode="External"/><Relationship Id="rId14" Type="http://schemas.openxmlformats.org/officeDocument/2006/relationships/hyperlink" Target="https://www.eternal.com/investor-relations" TargetMode="External"/><Relationship Id="rId22" Type="http://schemas.openxmlformats.org/officeDocument/2006/relationships/hyperlink" Target="https://pages.stern.nyu.edu/~adamodar/" TargetMode="External"/><Relationship Id="rId27" Type="http://schemas.openxmlformats.org/officeDocument/2006/relationships/hyperlink" Target="https://www.rbi.org.in/Scripts/QuarterlyPublications.aspx" TargetMode="External"/><Relationship Id="rId30" Type="http://schemas.openxmlformats.org/officeDocument/2006/relationships/hyperlink" Target="https://pages.stern.nyu.edu/~adamodar/" TargetMode="External"/><Relationship Id="rId35" Type="http://schemas.openxmlformats.org/officeDocument/2006/relationships/hyperlink" Target="https://www.nseindia.com/get-quotes/equity?symbol=SWIGGY" TargetMode="External"/><Relationship Id="rId8" Type="http://schemas.openxmlformats.org/officeDocument/2006/relationships/hyperlink" Target="https://www.republicworld.com/business/eternal-q1-fy26-results-how-much-zomatos-parent-firm-collected-from-your-delivery-charges-platform-fees-details" TargetMode="External"/><Relationship Id="rId3" Type="http://schemas.openxmlformats.org/officeDocument/2006/relationships/hyperlink" Target="https://entrackr.com/fintrackr/zepto-spent-rs-5747-cr-to-earn-rs-4454-cr-in-fy24-84385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62"/>
  <sheetViews>
    <sheetView showGridLines="0" tabSelected="1" zoomScale="115" zoomScaleNormal="115" workbookViewId="0">
      <pane xSplit="2" ySplit="5" topLeftCell="E6" activePane="bottomRight" state="frozen"/>
      <selection pane="topRight" activeCell="C1" sqref="C1"/>
      <selection pane="bottomLeft" activeCell="A6" sqref="A6"/>
      <selection pane="bottomRight" activeCell="B30" sqref="B30"/>
    </sheetView>
  </sheetViews>
  <sheetFormatPr defaultColWidth="8.6328125" defaultRowHeight="14.5" x14ac:dyDescent="0.35"/>
  <cols>
    <col min="1" max="1" width="2" customWidth="1"/>
    <col min="2" max="2" width="42" customWidth="1"/>
    <col min="3" max="8" width="11" customWidth="1"/>
    <col min="9" max="9" width="8" customWidth="1"/>
    <col min="10" max="10" width="55" customWidth="1"/>
    <col min="11" max="11" width="32" customWidth="1"/>
    <col min="12" max="12" width="15" bestFit="1" customWidth="1"/>
  </cols>
  <sheetData>
    <row r="2" spans="1:12" ht="17.25" customHeight="1" x14ac:dyDescent="0.35">
      <c r="B2" s="66" t="s">
        <v>0</v>
      </c>
      <c r="C2" s="67"/>
      <c r="D2" s="67"/>
      <c r="E2" s="67"/>
      <c r="F2" s="67"/>
      <c r="G2" s="67"/>
      <c r="H2" s="67"/>
      <c r="I2" s="67"/>
      <c r="J2" s="67"/>
      <c r="K2" s="67"/>
    </row>
    <row r="3" spans="1:12" ht="15" customHeight="1" x14ac:dyDescent="0.35">
      <c r="B3" s="72" t="s">
        <v>1</v>
      </c>
      <c r="C3" s="67"/>
      <c r="D3" s="67"/>
      <c r="E3" s="67"/>
      <c r="F3" s="67"/>
      <c r="G3" s="67"/>
      <c r="H3" s="67"/>
      <c r="I3" s="67"/>
      <c r="J3" s="67"/>
      <c r="K3" s="67"/>
    </row>
    <row r="5" spans="1:12" ht="15" customHeight="1" x14ac:dyDescent="0.35">
      <c r="B5" s="1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</row>
    <row r="7" spans="1:12" ht="15" customHeight="1" x14ac:dyDescent="0.35">
      <c r="A7" t="s">
        <v>273</v>
      </c>
      <c r="B7" s="69" t="s">
        <v>12</v>
      </c>
      <c r="C7" s="67"/>
      <c r="D7" s="67"/>
      <c r="E7" s="67"/>
      <c r="F7" s="67"/>
      <c r="G7" s="67"/>
      <c r="H7" s="67"/>
      <c r="I7" s="67"/>
      <c r="J7" s="67"/>
      <c r="K7" s="67"/>
    </row>
    <row r="8" spans="1:12" ht="39.75" customHeight="1" x14ac:dyDescent="0.35">
      <c r="B8" s="3" t="s">
        <v>13</v>
      </c>
      <c r="C8" s="4">
        <v>650</v>
      </c>
      <c r="D8" s="4">
        <v>1200</v>
      </c>
      <c r="E8" s="4">
        <v>1400</v>
      </c>
      <c r="F8" s="4">
        <v>1600</v>
      </c>
      <c r="G8" s="4">
        <v>1800</v>
      </c>
      <c r="H8" s="4">
        <v>2000</v>
      </c>
      <c r="I8" s="5" t="s">
        <v>14</v>
      </c>
      <c r="J8" s="6" t="s">
        <v>15</v>
      </c>
      <c r="K8" s="7" t="s">
        <v>16</v>
      </c>
    </row>
    <row r="9" spans="1:12" ht="39.75" customHeight="1" x14ac:dyDescent="0.35">
      <c r="B9" s="3" t="s">
        <v>17</v>
      </c>
      <c r="C9" s="4">
        <v>950</v>
      </c>
      <c r="D9" s="4">
        <v>1300</v>
      </c>
      <c r="E9" s="4">
        <v>1450</v>
      </c>
      <c r="F9" s="4">
        <v>1500</v>
      </c>
      <c r="G9" s="4">
        <v>1550</v>
      </c>
      <c r="H9" s="4">
        <v>1600</v>
      </c>
      <c r="I9" s="5" t="s">
        <v>18</v>
      </c>
      <c r="J9" s="6" t="s">
        <v>270</v>
      </c>
      <c r="K9" s="7" t="s">
        <v>19</v>
      </c>
    </row>
    <row r="10" spans="1:12" ht="15" customHeight="1" x14ac:dyDescent="0.35">
      <c r="B10" s="3" t="s">
        <v>20</v>
      </c>
      <c r="C10" s="4">
        <v>365</v>
      </c>
      <c r="D10" s="4">
        <v>365</v>
      </c>
      <c r="E10" s="4">
        <v>365</v>
      </c>
      <c r="F10" s="4">
        <v>365</v>
      </c>
      <c r="G10" s="4">
        <v>365</v>
      </c>
      <c r="H10" s="4">
        <v>365</v>
      </c>
      <c r="I10" s="5" t="s">
        <v>21</v>
      </c>
      <c r="J10" s="6" t="s">
        <v>22</v>
      </c>
      <c r="K10" s="7" t="s">
        <v>271</v>
      </c>
      <c r="L10" s="7" t="s">
        <v>272</v>
      </c>
    </row>
    <row r="11" spans="1:12" ht="39.75" customHeight="1" x14ac:dyDescent="0.35">
      <c r="B11" s="3" t="s">
        <v>23</v>
      </c>
      <c r="C11" s="8">
        <v>550</v>
      </c>
      <c r="D11" s="8">
        <v>660</v>
      </c>
      <c r="E11" s="8">
        <v>700</v>
      </c>
      <c r="F11" s="8">
        <v>750</v>
      </c>
      <c r="G11" s="8">
        <v>800</v>
      </c>
      <c r="H11" s="8">
        <v>850</v>
      </c>
      <c r="I11" s="5" t="s">
        <v>24</v>
      </c>
      <c r="J11" s="6" t="s">
        <v>25</v>
      </c>
      <c r="K11" s="7" t="s">
        <v>19</v>
      </c>
    </row>
    <row r="12" spans="1:12" ht="15" customHeight="1" x14ac:dyDescent="0.35">
      <c r="B12" s="3" t="s">
        <v>26</v>
      </c>
      <c r="C12" s="9">
        <f t="shared" ref="C12:H12" si="0">C8*C9*C10/1000000</f>
        <v>225.38749999999999</v>
      </c>
      <c r="D12" s="9">
        <f t="shared" si="0"/>
        <v>569.4</v>
      </c>
      <c r="E12" s="9">
        <f t="shared" si="0"/>
        <v>740.95</v>
      </c>
      <c r="F12" s="9">
        <f t="shared" si="0"/>
        <v>876</v>
      </c>
      <c r="G12" s="9">
        <f t="shared" si="0"/>
        <v>1018.35</v>
      </c>
      <c r="H12" s="9">
        <f t="shared" si="0"/>
        <v>1168</v>
      </c>
      <c r="I12" s="5" t="s">
        <v>27</v>
      </c>
      <c r="J12" s="10" t="s">
        <v>28</v>
      </c>
    </row>
    <row r="13" spans="1:12" ht="15" customHeight="1" x14ac:dyDescent="0.35">
      <c r="B13" s="11" t="s">
        <v>29</v>
      </c>
      <c r="C13" s="12">
        <f t="shared" ref="C13:H13" si="1">C12*C11/10</f>
        <v>12396.3125</v>
      </c>
      <c r="D13" s="12">
        <f t="shared" si="1"/>
        <v>37580.400000000001</v>
      </c>
      <c r="E13" s="12">
        <f t="shared" si="1"/>
        <v>51866.500000000007</v>
      </c>
      <c r="F13" s="12">
        <f t="shared" si="1"/>
        <v>65700</v>
      </c>
      <c r="G13" s="12">
        <f t="shared" si="1"/>
        <v>81468</v>
      </c>
      <c r="H13" s="12">
        <f t="shared" si="1"/>
        <v>99280</v>
      </c>
      <c r="I13" s="5" t="s">
        <v>30</v>
      </c>
      <c r="J13" s="10" t="s">
        <v>278</v>
      </c>
      <c r="K13" s="7" t="s">
        <v>279</v>
      </c>
    </row>
    <row r="14" spans="1:12" ht="15" customHeight="1" x14ac:dyDescent="0.35">
      <c r="B14" s="13" t="s">
        <v>31</v>
      </c>
      <c r="D14" s="14">
        <f>D13/C13-1</f>
        <v>2.0315789473684212</v>
      </c>
      <c r="E14" s="14">
        <f>E13/D13-1</f>
        <v>0.38014763014763031</v>
      </c>
      <c r="F14" s="14">
        <f>F13/E13-1</f>
        <v>0.26671358198451767</v>
      </c>
      <c r="G14" s="14">
        <f>G13/F13-1</f>
        <v>0.24</v>
      </c>
      <c r="H14" s="14">
        <f>H13/G13-1</f>
        <v>0.21863799283154117</v>
      </c>
    </row>
    <row r="16" spans="1:12" ht="15" customHeight="1" x14ac:dyDescent="0.35">
      <c r="A16" t="s">
        <v>273</v>
      </c>
      <c r="B16" s="69" t="s">
        <v>32</v>
      </c>
      <c r="C16" s="67"/>
      <c r="D16" s="67"/>
      <c r="E16" s="67"/>
      <c r="F16" s="67"/>
      <c r="G16" s="67"/>
      <c r="H16" s="67"/>
      <c r="I16" s="67"/>
      <c r="J16" s="67"/>
      <c r="K16" s="67"/>
    </row>
    <row r="17" spans="1:11" ht="39.75" customHeight="1" x14ac:dyDescent="0.35">
      <c r="B17" s="3" t="s">
        <v>33</v>
      </c>
      <c r="C17" s="15">
        <v>0.2</v>
      </c>
      <c r="D17" s="15">
        <v>0.18</v>
      </c>
      <c r="E17" s="15">
        <v>0.16</v>
      </c>
      <c r="F17" s="15">
        <v>0.14000000000000001</v>
      </c>
      <c r="G17" s="15">
        <v>0.12</v>
      </c>
      <c r="H17" s="15">
        <v>0.1</v>
      </c>
      <c r="I17" s="5" t="s">
        <v>34</v>
      </c>
      <c r="J17" s="6" t="s">
        <v>35</v>
      </c>
      <c r="K17" s="7" t="s">
        <v>36</v>
      </c>
    </row>
    <row r="18" spans="1:11" ht="39.75" customHeight="1" x14ac:dyDescent="0.35">
      <c r="B18" s="3" t="s">
        <v>37</v>
      </c>
      <c r="C18" s="16">
        <v>0.05</v>
      </c>
      <c r="D18" s="16">
        <v>5.1999999999999998E-2</v>
      </c>
      <c r="E18" s="16">
        <v>5.3999999999999999E-2</v>
      </c>
      <c r="F18" s="16">
        <v>5.6000000000000001E-2</v>
      </c>
      <c r="G18" s="16">
        <v>5.8000000000000003E-2</v>
      </c>
      <c r="H18" s="16">
        <v>0.06</v>
      </c>
      <c r="I18" s="5" t="s">
        <v>34</v>
      </c>
      <c r="J18" s="6" t="s">
        <v>275</v>
      </c>
      <c r="K18" s="7" t="s">
        <v>274</v>
      </c>
    </row>
    <row r="19" spans="1:11" ht="39.75" customHeight="1" x14ac:dyDescent="0.35">
      <c r="B19" s="3" t="s">
        <v>38</v>
      </c>
      <c r="C19" s="16">
        <v>4.0000000000000001E-3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5" t="s">
        <v>34</v>
      </c>
      <c r="J19" s="6" t="s">
        <v>39</v>
      </c>
      <c r="K19" s="7" t="s">
        <v>19</v>
      </c>
    </row>
    <row r="20" spans="1:11" ht="39.75" customHeight="1" x14ac:dyDescent="0.35">
      <c r="B20" s="3" t="s">
        <v>40</v>
      </c>
      <c r="C20" s="16">
        <v>8.0000000000000002E-3</v>
      </c>
      <c r="D20" s="16">
        <v>8.9999999999999993E-3</v>
      </c>
      <c r="E20" s="16">
        <v>0.01</v>
      </c>
      <c r="F20" s="16">
        <v>1.0999999999999999E-2</v>
      </c>
      <c r="G20" s="16">
        <v>1.2E-2</v>
      </c>
      <c r="H20" s="16">
        <v>1.23E-2</v>
      </c>
      <c r="I20" s="5" t="s">
        <v>34</v>
      </c>
      <c r="J20" s="6" t="s">
        <v>277</v>
      </c>
      <c r="K20" s="7" t="s">
        <v>276</v>
      </c>
    </row>
    <row r="22" spans="1:11" ht="15" customHeight="1" x14ac:dyDescent="0.35">
      <c r="A22" t="s">
        <v>273</v>
      </c>
      <c r="B22" s="69" t="s">
        <v>41</v>
      </c>
      <c r="C22" s="67"/>
      <c r="D22" s="67"/>
      <c r="E22" s="67"/>
      <c r="F22" s="67"/>
      <c r="G22" s="67"/>
      <c r="H22" s="67"/>
      <c r="I22" s="67"/>
      <c r="J22" s="67"/>
      <c r="K22" s="67"/>
    </row>
    <row r="23" spans="1:11" ht="15" customHeight="1" x14ac:dyDescent="0.35">
      <c r="B23" s="3" t="s">
        <v>42</v>
      </c>
      <c r="C23" s="17">
        <f t="shared" ref="C23:H23" si="2">-C13*C17</f>
        <v>-2479.2625000000003</v>
      </c>
      <c r="D23" s="17">
        <f t="shared" si="2"/>
        <v>-6764.4719999999998</v>
      </c>
      <c r="E23" s="17">
        <f t="shared" si="2"/>
        <v>-8298.6400000000012</v>
      </c>
      <c r="F23" s="17">
        <f t="shared" si="2"/>
        <v>-9198</v>
      </c>
      <c r="G23" s="17">
        <f t="shared" si="2"/>
        <v>-9776.16</v>
      </c>
      <c r="H23" s="17">
        <f t="shared" si="2"/>
        <v>-9928</v>
      </c>
      <c r="I23" s="5" t="s">
        <v>30</v>
      </c>
      <c r="J23" s="10" t="s">
        <v>43</v>
      </c>
    </row>
    <row r="24" spans="1:11" ht="15" customHeight="1" x14ac:dyDescent="0.35">
      <c r="B24" s="18" t="s">
        <v>44</v>
      </c>
      <c r="C24" s="19">
        <f t="shared" ref="C24:H24" si="3">C13+C23</f>
        <v>9917.0499999999993</v>
      </c>
      <c r="D24" s="19">
        <f t="shared" si="3"/>
        <v>30815.928</v>
      </c>
      <c r="E24" s="19">
        <f t="shared" si="3"/>
        <v>43567.860000000008</v>
      </c>
      <c r="F24" s="19">
        <f t="shared" si="3"/>
        <v>56502</v>
      </c>
      <c r="G24" s="19">
        <f t="shared" si="3"/>
        <v>71691.839999999997</v>
      </c>
      <c r="H24" s="19">
        <f t="shared" si="3"/>
        <v>89352</v>
      </c>
      <c r="I24" s="5" t="s">
        <v>30</v>
      </c>
      <c r="J24" s="10" t="s">
        <v>45</v>
      </c>
    </row>
    <row r="25" spans="1:11" ht="15" customHeight="1" x14ac:dyDescent="0.35">
      <c r="B25" s="3" t="s">
        <v>46</v>
      </c>
      <c r="C25" s="9">
        <f t="shared" ref="C25:H25" si="4">C13*C18</f>
        <v>619.81562500000007</v>
      </c>
      <c r="D25" s="9">
        <f t="shared" si="4"/>
        <v>1954.1808000000001</v>
      </c>
      <c r="E25" s="9">
        <f t="shared" si="4"/>
        <v>2800.7910000000002</v>
      </c>
      <c r="F25" s="9">
        <f t="shared" si="4"/>
        <v>3679.2000000000003</v>
      </c>
      <c r="G25" s="9">
        <f t="shared" si="4"/>
        <v>4725.1440000000002</v>
      </c>
      <c r="H25" s="9">
        <f t="shared" si="4"/>
        <v>5956.8</v>
      </c>
      <c r="I25" s="5" t="s">
        <v>30</v>
      </c>
      <c r="J25" s="10" t="s">
        <v>47</v>
      </c>
    </row>
    <row r="26" spans="1:11" ht="15" customHeight="1" x14ac:dyDescent="0.35">
      <c r="B26" s="3" t="s">
        <v>48</v>
      </c>
      <c r="C26" s="9">
        <f t="shared" ref="C26:H26" si="5">C13*C19</f>
        <v>49.585250000000002</v>
      </c>
      <c r="D26" s="9">
        <f t="shared" si="5"/>
        <v>0</v>
      </c>
      <c r="E26" s="9">
        <f t="shared" si="5"/>
        <v>0</v>
      </c>
      <c r="F26" s="9">
        <f t="shared" si="5"/>
        <v>0</v>
      </c>
      <c r="G26" s="9">
        <f t="shared" si="5"/>
        <v>0</v>
      </c>
      <c r="H26" s="9">
        <f t="shared" si="5"/>
        <v>0</v>
      </c>
      <c r="I26" s="5" t="s">
        <v>30</v>
      </c>
      <c r="J26" s="10" t="s">
        <v>49</v>
      </c>
    </row>
    <row r="27" spans="1:11" ht="15" customHeight="1" x14ac:dyDescent="0.35">
      <c r="B27" s="3" t="s">
        <v>50</v>
      </c>
      <c r="C27" s="9">
        <f t="shared" ref="C27:H27" si="6">C13*C20</f>
        <v>99.170500000000004</v>
      </c>
      <c r="D27" s="9">
        <f t="shared" si="6"/>
        <v>338.22359999999998</v>
      </c>
      <c r="E27" s="9">
        <f t="shared" si="6"/>
        <v>518.66500000000008</v>
      </c>
      <c r="F27" s="9">
        <f t="shared" si="6"/>
        <v>722.69999999999993</v>
      </c>
      <c r="G27" s="9">
        <f t="shared" si="6"/>
        <v>977.61599999999999</v>
      </c>
      <c r="H27" s="9">
        <f t="shared" si="6"/>
        <v>1221.144</v>
      </c>
      <c r="I27" s="5" t="s">
        <v>30</v>
      </c>
      <c r="J27" s="10" t="s">
        <v>51</v>
      </c>
    </row>
    <row r="28" spans="1:11" ht="50" customHeight="1" x14ac:dyDescent="0.35">
      <c r="B28" s="20" t="s">
        <v>52</v>
      </c>
      <c r="C28" s="21">
        <f t="shared" ref="C28:H28" si="7">C24+C25+C26+C27</f>
        <v>10685.621374999999</v>
      </c>
      <c r="D28" s="21">
        <f t="shared" si="7"/>
        <v>33108.332399999999</v>
      </c>
      <c r="E28" s="21">
        <f t="shared" si="7"/>
        <v>46887.316000000006</v>
      </c>
      <c r="F28" s="21">
        <f t="shared" si="7"/>
        <v>60903.899999999994</v>
      </c>
      <c r="G28" s="21">
        <f t="shared" si="7"/>
        <v>77394.599999999991</v>
      </c>
      <c r="H28" s="21">
        <f t="shared" si="7"/>
        <v>96529.944000000003</v>
      </c>
      <c r="I28" s="5" t="s">
        <v>30</v>
      </c>
      <c r="J28" s="53"/>
      <c r="K28" s="7"/>
    </row>
    <row r="29" spans="1:11" ht="15" customHeight="1" x14ac:dyDescent="0.35">
      <c r="B29" s="13" t="s">
        <v>31</v>
      </c>
      <c r="D29" s="14">
        <f>D28/C28-1</f>
        <v>2.0984002930760779</v>
      </c>
      <c r="E29" s="14">
        <f>E28/D28-1</f>
        <v>0.41617872605386808</v>
      </c>
      <c r="F29" s="14">
        <f>F28/E28-1</f>
        <v>0.29894191426952199</v>
      </c>
      <c r="G29" s="14">
        <f>G28/F28-1</f>
        <v>0.27076591154261065</v>
      </c>
      <c r="H29" s="14">
        <f>H28/G28-1</f>
        <v>0.24724391624221864</v>
      </c>
    </row>
    <row r="30" spans="1:11" ht="15" customHeight="1" x14ac:dyDescent="0.35">
      <c r="B30" s="13" t="s">
        <v>53</v>
      </c>
      <c r="C30" s="22">
        <f t="shared" ref="C30:H30" si="8">C28/C13</f>
        <v>0.86199999999999988</v>
      </c>
      <c r="D30" s="22">
        <f t="shared" si="8"/>
        <v>0.88099999999999989</v>
      </c>
      <c r="E30" s="22">
        <f t="shared" si="8"/>
        <v>0.90400000000000003</v>
      </c>
      <c r="F30" s="22">
        <f t="shared" si="8"/>
        <v>0.92699999999999994</v>
      </c>
      <c r="G30" s="22">
        <f t="shared" si="8"/>
        <v>0.94999999999999984</v>
      </c>
      <c r="H30" s="22">
        <f t="shared" si="8"/>
        <v>0.97230000000000005</v>
      </c>
    </row>
    <row r="32" spans="1:11" ht="15" customHeight="1" x14ac:dyDescent="0.35">
      <c r="A32" t="s">
        <v>273</v>
      </c>
      <c r="B32" s="69" t="s">
        <v>54</v>
      </c>
      <c r="C32" s="67"/>
      <c r="D32" s="67"/>
      <c r="E32" s="67"/>
      <c r="F32" s="67"/>
      <c r="G32" s="67"/>
      <c r="H32" s="67"/>
      <c r="I32" s="67"/>
      <c r="J32" s="67"/>
      <c r="K32" s="67"/>
    </row>
    <row r="33" spans="1:11" ht="39.75" customHeight="1" x14ac:dyDescent="0.35">
      <c r="B33" s="3" t="s">
        <v>55</v>
      </c>
      <c r="C33" s="15">
        <v>0.125</v>
      </c>
      <c r="D33" s="15">
        <v>0.13</v>
      </c>
      <c r="E33" s="15">
        <v>0.13500000000000001</v>
      </c>
      <c r="F33" s="15">
        <v>0.14000000000000001</v>
      </c>
      <c r="G33" s="15">
        <v>0.14499999999999999</v>
      </c>
      <c r="H33" s="15">
        <v>0.15</v>
      </c>
      <c r="I33" s="5" t="s">
        <v>34</v>
      </c>
      <c r="J33" s="6" t="s">
        <v>281</v>
      </c>
      <c r="K33" s="7" t="s">
        <v>56</v>
      </c>
    </row>
    <row r="34" spans="1:11" ht="39.75" customHeight="1" x14ac:dyDescent="0.35">
      <c r="B34" s="3" t="s">
        <v>57</v>
      </c>
      <c r="C34" s="15">
        <v>6.5000000000000002E-2</v>
      </c>
      <c r="D34" s="54">
        <f>C34*(D8/C8)*(C13/D13)</f>
        <v>3.9583333333333338E-2</v>
      </c>
      <c r="E34" s="54">
        <f t="shared" ref="E34:H34" si="9">D34*(E8/D8)*(D13/E13)</f>
        <v>3.3460591133004931E-2</v>
      </c>
      <c r="F34" s="54">
        <f t="shared" si="9"/>
        <v>3.0188888888888894E-2</v>
      </c>
      <c r="G34" s="54">
        <f t="shared" si="9"/>
        <v>2.738911290322581E-2</v>
      </c>
      <c r="H34" s="54">
        <f t="shared" si="9"/>
        <v>2.4972426470588237E-2</v>
      </c>
      <c r="I34" s="5" t="s">
        <v>34</v>
      </c>
      <c r="J34" s="6" t="s">
        <v>282</v>
      </c>
      <c r="K34" s="7" t="s">
        <v>56</v>
      </c>
    </row>
    <row r="35" spans="1:11" ht="39.75" customHeight="1" x14ac:dyDescent="0.35">
      <c r="B35" s="3" t="s">
        <v>58</v>
      </c>
      <c r="C35" s="15">
        <v>0.08</v>
      </c>
      <c r="D35" s="54">
        <f>C35*(D12/C12)*(C13/D13)</f>
        <v>6.6666666666666666E-2</v>
      </c>
      <c r="E35" s="54">
        <f t="shared" ref="E35:H35" si="10">D35*(E12/D12)*(D13/E13)</f>
        <v>6.2857142857142848E-2</v>
      </c>
      <c r="F35" s="54">
        <f t="shared" si="10"/>
        <v>5.8666666666666652E-2</v>
      </c>
      <c r="G35" s="54">
        <f t="shared" si="10"/>
        <v>5.4999999999999979E-2</v>
      </c>
      <c r="H35" s="54">
        <f t="shared" si="10"/>
        <v>5.1764705882352921E-2</v>
      </c>
      <c r="I35" s="5" t="s">
        <v>34</v>
      </c>
      <c r="J35" s="6" t="s">
        <v>59</v>
      </c>
      <c r="K35" s="7" t="s">
        <v>56</v>
      </c>
    </row>
    <row r="36" spans="1:11" ht="39.75" customHeight="1" x14ac:dyDescent="0.35">
      <c r="B36" s="3" t="s">
        <v>60</v>
      </c>
      <c r="C36" s="15">
        <v>0.08</v>
      </c>
      <c r="D36" s="15">
        <v>6.5000000000000002E-2</v>
      </c>
      <c r="E36" s="15">
        <v>0.05</v>
      </c>
      <c r="F36" s="15">
        <v>0.04</v>
      </c>
      <c r="G36" s="15">
        <v>0.03</v>
      </c>
      <c r="H36" s="15">
        <v>2.5000000000000001E-2</v>
      </c>
      <c r="I36" s="5" t="s">
        <v>34</v>
      </c>
      <c r="J36" s="6" t="s">
        <v>61</v>
      </c>
      <c r="K36" s="7" t="s">
        <v>62</v>
      </c>
    </row>
    <row r="37" spans="1:11" ht="39.75" customHeight="1" x14ac:dyDescent="0.35">
      <c r="B37" s="3" t="s">
        <v>63</v>
      </c>
      <c r="C37" s="15">
        <v>8.8999999999999996E-2</v>
      </c>
      <c r="D37" s="15">
        <v>0.04</v>
      </c>
      <c r="E37" s="15">
        <v>3.2000000000000001E-2</v>
      </c>
      <c r="F37" s="15">
        <v>2.7E-2</v>
      </c>
      <c r="G37" s="15">
        <v>2.3E-2</v>
      </c>
      <c r="H37" s="15">
        <v>0.02</v>
      </c>
      <c r="I37" s="5" t="s">
        <v>34</v>
      </c>
      <c r="J37" s="6" t="s">
        <v>280</v>
      </c>
      <c r="K37" s="7" t="s">
        <v>64</v>
      </c>
    </row>
    <row r="39" spans="1:11" ht="15" customHeight="1" x14ac:dyDescent="0.35">
      <c r="A39" t="s">
        <v>273</v>
      </c>
      <c r="B39" s="69" t="s">
        <v>65</v>
      </c>
      <c r="C39" s="67"/>
      <c r="D39" s="67"/>
      <c r="E39" s="67"/>
      <c r="F39" s="67"/>
      <c r="G39" s="67"/>
      <c r="H39" s="67"/>
      <c r="I39" s="67"/>
      <c r="J39" s="67"/>
      <c r="K39" s="67"/>
    </row>
    <row r="40" spans="1:11" ht="15" customHeight="1" x14ac:dyDescent="0.35">
      <c r="B40" s="3" t="s">
        <v>66</v>
      </c>
      <c r="C40" s="9">
        <f t="shared" ref="C40:H40" si="11">C28</f>
        <v>10685.621374999999</v>
      </c>
      <c r="D40" s="9">
        <f t="shared" si="11"/>
        <v>33108.332399999999</v>
      </c>
      <c r="E40" s="9">
        <f t="shared" si="11"/>
        <v>46887.316000000006</v>
      </c>
      <c r="F40" s="9">
        <f t="shared" si="11"/>
        <v>60903.899999999994</v>
      </c>
      <c r="G40" s="9">
        <f t="shared" si="11"/>
        <v>77394.599999999991</v>
      </c>
      <c r="H40" s="9">
        <f t="shared" si="11"/>
        <v>96529.944000000003</v>
      </c>
      <c r="I40" s="5" t="s">
        <v>30</v>
      </c>
      <c r="J40" s="10" t="s">
        <v>67</v>
      </c>
    </row>
    <row r="41" spans="1:11" ht="15" customHeight="1" x14ac:dyDescent="0.35">
      <c r="B41" s="3" t="s">
        <v>68</v>
      </c>
      <c r="C41" s="17">
        <f>-C24*(1-C33)</f>
        <v>-8677.4187499999989</v>
      </c>
      <c r="D41" s="17">
        <f t="shared" ref="D41:H41" si="12">-D24*(1-D33)</f>
        <v>-26809.857359999998</v>
      </c>
      <c r="E41" s="17">
        <f t="shared" si="12"/>
        <v>-37686.198900000003</v>
      </c>
      <c r="F41" s="17">
        <f t="shared" si="12"/>
        <v>-48591.72</v>
      </c>
      <c r="G41" s="17">
        <f t="shared" si="12"/>
        <v>-61296.523199999996</v>
      </c>
      <c r="H41" s="17">
        <f t="shared" si="12"/>
        <v>-75949.2</v>
      </c>
      <c r="I41" s="5" t="s">
        <v>30</v>
      </c>
      <c r="J41" s="10" t="s">
        <v>69</v>
      </c>
    </row>
    <row r="42" spans="1:11" ht="15" customHeight="1" x14ac:dyDescent="0.35">
      <c r="B42" s="11" t="s">
        <v>70</v>
      </c>
      <c r="C42" s="23">
        <f t="shared" ref="C42:H42" si="13">C40+C41</f>
        <v>2008.2026249999999</v>
      </c>
      <c r="D42" s="23">
        <f t="shared" si="13"/>
        <v>6298.4750400000012</v>
      </c>
      <c r="E42" s="23">
        <f t="shared" si="13"/>
        <v>9201.1171000000031</v>
      </c>
      <c r="F42" s="23">
        <f t="shared" si="13"/>
        <v>12312.179999999993</v>
      </c>
      <c r="G42" s="23">
        <f t="shared" si="13"/>
        <v>16098.076799999995</v>
      </c>
      <c r="H42" s="23">
        <f t="shared" si="13"/>
        <v>20580.744000000006</v>
      </c>
      <c r="I42" s="5" t="s">
        <v>30</v>
      </c>
      <c r="J42" s="10" t="s">
        <v>71</v>
      </c>
    </row>
    <row r="43" spans="1:11" ht="15" customHeight="1" x14ac:dyDescent="0.35">
      <c r="B43" s="13" t="s">
        <v>72</v>
      </c>
      <c r="C43" s="22">
        <f t="shared" ref="C43:H43" si="14">C42/C40</f>
        <v>0.18793503480278423</v>
      </c>
      <c r="D43" s="22">
        <f t="shared" si="14"/>
        <v>0.19023836549375714</v>
      </c>
      <c r="E43" s="22">
        <f t="shared" si="14"/>
        <v>0.19623893805309739</v>
      </c>
      <c r="F43" s="22">
        <f t="shared" si="14"/>
        <v>0.20215749730312826</v>
      </c>
      <c r="G43" s="22">
        <f t="shared" si="14"/>
        <v>0.20799999999999996</v>
      </c>
      <c r="H43" s="22">
        <f t="shared" si="14"/>
        <v>0.2132058006788029</v>
      </c>
      <c r="J43" s="13" t="s">
        <v>73</v>
      </c>
    </row>
    <row r="44" spans="1:11" ht="15" customHeight="1" x14ac:dyDescent="0.35">
      <c r="B44" s="3" t="s">
        <v>74</v>
      </c>
      <c r="C44" s="17">
        <f t="shared" ref="C44:H44" si="15">-C13*C34</f>
        <v>-805.76031250000005</v>
      </c>
      <c r="D44" s="17">
        <f t="shared" si="15"/>
        <v>-1487.5575000000003</v>
      </c>
      <c r="E44" s="17">
        <f t="shared" si="15"/>
        <v>-1735.4837500000006</v>
      </c>
      <c r="F44" s="17">
        <f t="shared" si="15"/>
        <v>-1983.4100000000003</v>
      </c>
      <c r="G44" s="17">
        <f t="shared" si="15"/>
        <v>-2231.3362500000003</v>
      </c>
      <c r="H44" s="17">
        <f t="shared" si="15"/>
        <v>-2479.2625000000003</v>
      </c>
      <c r="I44" s="5" t="s">
        <v>30</v>
      </c>
      <c r="J44" s="10" t="s">
        <v>75</v>
      </c>
    </row>
    <row r="45" spans="1:11" ht="15" customHeight="1" x14ac:dyDescent="0.35">
      <c r="B45" s="3" t="s">
        <v>76</v>
      </c>
      <c r="C45" s="17">
        <f t="shared" ref="C45:H45" si="16">-C13*C35</f>
        <v>-991.70500000000004</v>
      </c>
      <c r="D45" s="17">
        <f t="shared" si="16"/>
        <v>-2505.36</v>
      </c>
      <c r="E45" s="17">
        <f t="shared" si="16"/>
        <v>-3260.18</v>
      </c>
      <c r="F45" s="17">
        <f t="shared" si="16"/>
        <v>-3854.3999999999992</v>
      </c>
      <c r="G45" s="17">
        <f t="shared" si="16"/>
        <v>-4480.739999999998</v>
      </c>
      <c r="H45" s="17">
        <f t="shared" si="16"/>
        <v>-5139.199999999998</v>
      </c>
      <c r="I45" s="5" t="s">
        <v>30</v>
      </c>
      <c r="J45" s="10" t="s">
        <v>77</v>
      </c>
    </row>
    <row r="46" spans="1:11" ht="15" customHeight="1" x14ac:dyDescent="0.35">
      <c r="B46" s="11" t="s">
        <v>78</v>
      </c>
      <c r="C46" s="23">
        <f t="shared" ref="C46:H46" si="17">C42+C44+C45</f>
        <v>210.7373124999998</v>
      </c>
      <c r="D46" s="23">
        <f t="shared" si="17"/>
        <v>2305.5575400000002</v>
      </c>
      <c r="E46" s="23">
        <f t="shared" si="17"/>
        <v>4205.4533500000034</v>
      </c>
      <c r="F46" s="23">
        <f t="shared" si="17"/>
        <v>6474.3699999999935</v>
      </c>
      <c r="G46" s="23">
        <f t="shared" si="17"/>
        <v>9386.000549999997</v>
      </c>
      <c r="H46" s="23">
        <f t="shared" si="17"/>
        <v>12962.281500000008</v>
      </c>
      <c r="I46" s="5" t="s">
        <v>30</v>
      </c>
      <c r="J46" s="10" t="s">
        <v>79</v>
      </c>
    </row>
    <row r="47" spans="1:11" ht="15" customHeight="1" x14ac:dyDescent="0.35">
      <c r="B47" s="13" t="s">
        <v>80</v>
      </c>
      <c r="C47" s="24">
        <f t="shared" ref="C47:H47" si="18">C46/C40</f>
        <v>1.9721577726218083E-2</v>
      </c>
      <c r="D47" s="24">
        <f t="shared" si="18"/>
        <v>6.9636776390465394E-2</v>
      </c>
      <c r="E47" s="24">
        <f t="shared" si="18"/>
        <v>8.9692772134792334E-2</v>
      </c>
      <c r="F47" s="24">
        <f t="shared" si="18"/>
        <v>0.10630468656358615</v>
      </c>
      <c r="G47" s="24">
        <f t="shared" si="18"/>
        <v>0.12127461799660438</v>
      </c>
      <c r="H47" s="24">
        <f t="shared" si="18"/>
        <v>0.13428249269470216</v>
      </c>
      <c r="J47" s="13" t="s">
        <v>81</v>
      </c>
      <c r="K47" s="7" t="s">
        <v>82</v>
      </c>
    </row>
    <row r="49" spans="1:11" ht="15" customHeight="1" x14ac:dyDescent="0.35">
      <c r="B49" s="3" t="s">
        <v>83</v>
      </c>
      <c r="C49" s="17">
        <f t="shared" ref="C49:H49" si="19">-C13*C36</f>
        <v>-991.70500000000004</v>
      </c>
      <c r="D49" s="17">
        <f t="shared" si="19"/>
        <v>-2442.7260000000001</v>
      </c>
      <c r="E49" s="17">
        <f t="shared" si="19"/>
        <v>-2593.3250000000007</v>
      </c>
      <c r="F49" s="17">
        <f t="shared" si="19"/>
        <v>-2628</v>
      </c>
      <c r="G49" s="17">
        <f t="shared" si="19"/>
        <v>-2444.04</v>
      </c>
      <c r="H49" s="17">
        <f t="shared" si="19"/>
        <v>-2482</v>
      </c>
      <c r="I49" s="5" t="s">
        <v>30</v>
      </c>
      <c r="J49" s="10" t="s">
        <v>84</v>
      </c>
    </row>
    <row r="50" spans="1:11" ht="15" customHeight="1" x14ac:dyDescent="0.35">
      <c r="B50" s="3" t="s">
        <v>85</v>
      </c>
      <c r="C50" s="17">
        <f t="shared" ref="C50:H50" si="20">-C13*C37</f>
        <v>-1103.2718124999999</v>
      </c>
      <c r="D50" s="17">
        <f t="shared" si="20"/>
        <v>-1503.2160000000001</v>
      </c>
      <c r="E50" s="17">
        <f t="shared" si="20"/>
        <v>-1659.7280000000003</v>
      </c>
      <c r="F50" s="17">
        <f t="shared" si="20"/>
        <v>-1773.9</v>
      </c>
      <c r="G50" s="17">
        <f t="shared" si="20"/>
        <v>-1873.7639999999999</v>
      </c>
      <c r="H50" s="17">
        <f t="shared" si="20"/>
        <v>-1985.6000000000001</v>
      </c>
      <c r="I50" s="5" t="s">
        <v>30</v>
      </c>
      <c r="J50" s="10" t="s">
        <v>86</v>
      </c>
    </row>
    <row r="51" spans="1:11" ht="15" customHeight="1" x14ac:dyDescent="0.35">
      <c r="B51" s="20" t="s">
        <v>87</v>
      </c>
      <c r="C51" s="25">
        <f t="shared" ref="C51:H51" si="21">C46+C49+C50</f>
        <v>-1884.2395000000001</v>
      </c>
      <c r="D51" s="25">
        <f t="shared" si="21"/>
        <v>-1640.38446</v>
      </c>
      <c r="E51" s="25">
        <f t="shared" si="21"/>
        <v>-47.599649999997609</v>
      </c>
      <c r="F51" s="25">
        <f t="shared" si="21"/>
        <v>2072.4699999999934</v>
      </c>
      <c r="G51" s="25">
        <f t="shared" si="21"/>
        <v>5068.1965499999969</v>
      </c>
      <c r="H51" s="25">
        <f t="shared" si="21"/>
        <v>8494.6815000000079</v>
      </c>
      <c r="I51" s="5" t="s">
        <v>30</v>
      </c>
      <c r="J51" s="10" t="s">
        <v>88</v>
      </c>
    </row>
    <row r="52" spans="1:11" ht="15" customHeight="1" x14ac:dyDescent="0.35">
      <c r="B52" s="26" t="s">
        <v>89</v>
      </c>
      <c r="C52" s="27">
        <f t="shared" ref="C52:H52" si="22">C51/C40</f>
        <v>-0.1763341067285383</v>
      </c>
      <c r="D52" s="27">
        <f t="shared" si="22"/>
        <v>-4.9545970488081729E-2</v>
      </c>
      <c r="E52" s="27">
        <f t="shared" si="22"/>
        <v>-1.0151924669775851E-3</v>
      </c>
      <c r="F52" s="27">
        <f t="shared" si="22"/>
        <v>3.4028526908785703E-2</v>
      </c>
      <c r="G52" s="27">
        <f t="shared" si="22"/>
        <v>6.5485144312393856E-2</v>
      </c>
      <c r="H52" s="27">
        <f t="shared" si="22"/>
        <v>8.800048096992584E-2</v>
      </c>
      <c r="J52" s="13" t="s">
        <v>90</v>
      </c>
      <c r="K52" s="7" t="s">
        <v>56</v>
      </c>
    </row>
    <row r="54" spans="1:11" ht="15" customHeight="1" x14ac:dyDescent="0.35">
      <c r="A54" t="s">
        <v>273</v>
      </c>
      <c r="B54" s="69" t="s">
        <v>91</v>
      </c>
      <c r="C54" s="67"/>
      <c r="D54" s="67"/>
      <c r="E54" s="67"/>
      <c r="F54" s="67"/>
      <c r="G54" s="67"/>
      <c r="H54" s="67"/>
      <c r="I54" s="67"/>
      <c r="J54" s="67"/>
      <c r="K54" s="67"/>
    </row>
    <row r="55" spans="1:11" ht="15" customHeight="1" x14ac:dyDescent="0.35">
      <c r="B55" s="13" t="s">
        <v>92</v>
      </c>
      <c r="C55" s="28">
        <f t="shared" ref="C55:H55" si="23">C12</f>
        <v>225.38749999999999</v>
      </c>
      <c r="D55" s="28">
        <f t="shared" si="23"/>
        <v>569.4</v>
      </c>
      <c r="E55" s="28">
        <f t="shared" si="23"/>
        <v>740.95</v>
      </c>
      <c r="F55" s="28">
        <f t="shared" si="23"/>
        <v>876</v>
      </c>
      <c r="G55" s="28">
        <f t="shared" si="23"/>
        <v>1018.35</v>
      </c>
      <c r="H55" s="28">
        <f t="shared" si="23"/>
        <v>1168</v>
      </c>
    </row>
    <row r="56" spans="1:11" ht="15" customHeight="1" x14ac:dyDescent="0.35">
      <c r="B56" s="3" t="s">
        <v>93</v>
      </c>
      <c r="C56" s="17">
        <f t="shared" ref="C56:H56" si="24">C28/C12*10</f>
        <v>474.09999999999997</v>
      </c>
      <c r="D56" s="17">
        <f t="shared" si="24"/>
        <v>581.46</v>
      </c>
      <c r="E56" s="17">
        <f t="shared" si="24"/>
        <v>632.79999999999995</v>
      </c>
      <c r="F56" s="17">
        <f t="shared" si="24"/>
        <v>695.24999999999989</v>
      </c>
      <c r="G56" s="17">
        <f t="shared" si="24"/>
        <v>759.99999999999989</v>
      </c>
      <c r="H56" s="17">
        <f t="shared" si="24"/>
        <v>826.45499999999993</v>
      </c>
      <c r="I56" s="5" t="s">
        <v>94</v>
      </c>
      <c r="J56" s="13" t="s">
        <v>95</v>
      </c>
    </row>
    <row r="57" spans="1:11" ht="15" customHeight="1" x14ac:dyDescent="0.35">
      <c r="B57" s="3" t="s">
        <v>96</v>
      </c>
      <c r="C57" s="17">
        <f t="shared" ref="C57:H57" si="25">C41/C12*10</f>
        <v>-385</v>
      </c>
      <c r="D57" s="17">
        <f t="shared" si="25"/>
        <v>-470.84399999999994</v>
      </c>
      <c r="E57" s="17">
        <f t="shared" si="25"/>
        <v>-508.62</v>
      </c>
      <c r="F57" s="17">
        <f t="shared" si="25"/>
        <v>-554.70000000000005</v>
      </c>
      <c r="G57" s="17">
        <f t="shared" si="25"/>
        <v>-601.91999999999996</v>
      </c>
      <c r="H57" s="17">
        <f t="shared" si="25"/>
        <v>-650.24999999999989</v>
      </c>
      <c r="I57" s="5" t="s">
        <v>94</v>
      </c>
    </row>
    <row r="58" spans="1:11" ht="15" customHeight="1" x14ac:dyDescent="0.35">
      <c r="B58" s="11" t="s">
        <v>97</v>
      </c>
      <c r="C58" s="23">
        <f t="shared" ref="C58:H58" si="26">C42/C12*10</f>
        <v>89.1</v>
      </c>
      <c r="D58" s="23">
        <f t="shared" si="26"/>
        <v>110.61600000000001</v>
      </c>
      <c r="E58" s="23">
        <f t="shared" si="26"/>
        <v>124.18000000000004</v>
      </c>
      <c r="F58" s="23">
        <f t="shared" si="26"/>
        <v>140.54999999999993</v>
      </c>
      <c r="G58" s="23">
        <f t="shared" si="26"/>
        <v>158.07999999999996</v>
      </c>
      <c r="H58" s="23">
        <f t="shared" si="26"/>
        <v>176.20500000000007</v>
      </c>
      <c r="I58" s="5" t="s">
        <v>94</v>
      </c>
    </row>
    <row r="59" spans="1:11" ht="15" customHeight="1" x14ac:dyDescent="0.35">
      <c r="B59" s="3" t="s">
        <v>98</v>
      </c>
      <c r="C59" s="17">
        <f t="shared" ref="C59:H59" si="27">C44/C12*10</f>
        <v>-35.750000000000007</v>
      </c>
      <c r="D59" s="17">
        <f t="shared" si="27"/>
        <v>-26.125000000000007</v>
      </c>
      <c r="E59" s="17">
        <f t="shared" si="27"/>
        <v>-23.422413793103452</v>
      </c>
      <c r="F59" s="17">
        <f t="shared" si="27"/>
        <v>-22.641666666666673</v>
      </c>
      <c r="G59" s="17">
        <f t="shared" si="27"/>
        <v>-21.911290322580648</v>
      </c>
      <c r="H59" s="17">
        <f t="shared" si="27"/>
        <v>-21.226562500000004</v>
      </c>
      <c r="I59" s="5" t="s">
        <v>94</v>
      </c>
    </row>
    <row r="60" spans="1:11" ht="15" customHeight="1" x14ac:dyDescent="0.35">
      <c r="B60" s="3" t="s">
        <v>99</v>
      </c>
      <c r="C60" s="17">
        <f t="shared" ref="C60:H60" si="28">C45/C12*10</f>
        <v>-44</v>
      </c>
      <c r="D60" s="17">
        <f t="shared" si="28"/>
        <v>-44</v>
      </c>
      <c r="E60" s="17">
        <f t="shared" si="28"/>
        <v>-43.999999999999993</v>
      </c>
      <c r="F60" s="17">
        <f t="shared" si="28"/>
        <v>-43.999999999999993</v>
      </c>
      <c r="G60" s="17">
        <f t="shared" si="28"/>
        <v>-43.999999999999979</v>
      </c>
      <c r="H60" s="17">
        <f t="shared" si="28"/>
        <v>-43.999999999999986</v>
      </c>
      <c r="I60" s="5" t="s">
        <v>94</v>
      </c>
      <c r="J60" s="13" t="s">
        <v>100</v>
      </c>
    </row>
    <row r="61" spans="1:11" ht="15" customHeight="1" x14ac:dyDescent="0.35">
      <c r="B61" s="11" t="s">
        <v>101</v>
      </c>
      <c r="C61" s="23">
        <f t="shared" ref="C61:H61" si="29">C46/C12*10</f>
        <v>9.3499999999999908</v>
      </c>
      <c r="D61" s="23">
        <f t="shared" si="29"/>
        <v>40.491000000000014</v>
      </c>
      <c r="E61" s="23">
        <f t="shared" si="29"/>
        <v>56.757586206896598</v>
      </c>
      <c r="F61" s="23">
        <f t="shared" si="29"/>
        <v>73.90833333333326</v>
      </c>
      <c r="G61" s="23">
        <f t="shared" si="29"/>
        <v>92.168709677419329</v>
      </c>
      <c r="H61" s="23">
        <f t="shared" si="29"/>
        <v>110.97843750000007</v>
      </c>
      <c r="I61" s="5" t="s">
        <v>94</v>
      </c>
      <c r="J61" s="13" t="s">
        <v>102</v>
      </c>
    </row>
    <row r="62" spans="1:11" ht="15" customHeight="1" x14ac:dyDescent="0.35">
      <c r="B62" s="3" t="s">
        <v>103</v>
      </c>
      <c r="C62" s="17">
        <f t="shared" ref="C62:H62" si="30">C49/C12*10</f>
        <v>-44</v>
      </c>
      <c r="D62" s="17">
        <f t="shared" si="30"/>
        <v>-42.9</v>
      </c>
      <c r="E62" s="17">
        <f t="shared" si="30"/>
        <v>-35.000000000000007</v>
      </c>
      <c r="F62" s="17">
        <f t="shared" si="30"/>
        <v>-30</v>
      </c>
      <c r="G62" s="17">
        <f t="shared" si="30"/>
        <v>-24</v>
      </c>
      <c r="H62" s="17">
        <f t="shared" si="30"/>
        <v>-21.25</v>
      </c>
      <c r="I62" s="5" t="s">
        <v>94</v>
      </c>
      <c r="J62" s="13" t="s">
        <v>104</v>
      </c>
    </row>
    <row r="63" spans="1:11" ht="15" customHeight="1" x14ac:dyDescent="0.35">
      <c r="B63" s="3" t="s">
        <v>105</v>
      </c>
      <c r="C63" s="17">
        <f t="shared" ref="C63:H63" si="31">C50/C12*10</f>
        <v>-48.949999999999996</v>
      </c>
      <c r="D63" s="17">
        <f t="shared" si="31"/>
        <v>-26.400000000000002</v>
      </c>
      <c r="E63" s="17">
        <f t="shared" si="31"/>
        <v>-22.400000000000002</v>
      </c>
      <c r="F63" s="17">
        <f t="shared" si="31"/>
        <v>-20.25</v>
      </c>
      <c r="G63" s="17">
        <f t="shared" si="31"/>
        <v>-18.399999999999999</v>
      </c>
      <c r="H63" s="17">
        <f t="shared" si="31"/>
        <v>-17</v>
      </c>
      <c r="I63" s="5" t="s">
        <v>94</v>
      </c>
    </row>
    <row r="64" spans="1:11" ht="15" customHeight="1" x14ac:dyDescent="0.35">
      <c r="B64" s="20" t="s">
        <v>106</v>
      </c>
      <c r="C64" s="25">
        <f t="shared" ref="C64:H64" si="32">C51/C12*10</f>
        <v>-83.600000000000009</v>
      </c>
      <c r="D64" s="25">
        <f t="shared" si="32"/>
        <v>-28.809000000000001</v>
      </c>
      <c r="E64" s="25">
        <f t="shared" si="32"/>
        <v>-0.64241379310341595</v>
      </c>
      <c r="F64" s="25">
        <f t="shared" si="32"/>
        <v>23.658333333333257</v>
      </c>
      <c r="G64" s="25">
        <f t="shared" si="32"/>
        <v>49.768709677419324</v>
      </c>
      <c r="H64" s="25">
        <f t="shared" si="32"/>
        <v>72.728437500000069</v>
      </c>
      <c r="I64" s="5" t="s">
        <v>94</v>
      </c>
    </row>
    <row r="67" spans="1:11" ht="15" customHeight="1" x14ac:dyDescent="0.35">
      <c r="A67" t="s">
        <v>273</v>
      </c>
      <c r="B67" s="69" t="s">
        <v>107</v>
      </c>
      <c r="C67" s="67"/>
      <c r="D67" s="67"/>
      <c r="E67" s="67"/>
      <c r="F67" s="67"/>
      <c r="G67" s="67"/>
      <c r="H67" s="67"/>
      <c r="I67" s="67"/>
      <c r="J67" s="67"/>
      <c r="K67" s="67"/>
    </row>
    <row r="68" spans="1:11" ht="39.75" customHeight="1" x14ac:dyDescent="0.35">
      <c r="B68" s="3" t="s">
        <v>108</v>
      </c>
      <c r="C68" s="4">
        <v>650</v>
      </c>
      <c r="D68" s="4">
        <v>1200</v>
      </c>
      <c r="E68" s="4">
        <v>1400</v>
      </c>
      <c r="F68" s="4">
        <v>1600</v>
      </c>
      <c r="G68" s="4">
        <v>1800</v>
      </c>
      <c r="H68" s="4">
        <v>2000</v>
      </c>
      <c r="I68" s="5" t="s">
        <v>14</v>
      </c>
      <c r="J68" s="6" t="s">
        <v>109</v>
      </c>
      <c r="K68" s="7" t="s">
        <v>110</v>
      </c>
    </row>
    <row r="69" spans="1:11" ht="15" customHeight="1" x14ac:dyDescent="0.35">
      <c r="B69" s="3" t="s">
        <v>111</v>
      </c>
      <c r="C69" s="9"/>
      <c r="D69" s="9">
        <f>D68-C68</f>
        <v>550</v>
      </c>
      <c r="E69" s="9">
        <f>E68-D68</f>
        <v>200</v>
      </c>
      <c r="F69" s="9">
        <f>F68-E68</f>
        <v>200</v>
      </c>
      <c r="G69" s="9">
        <f>G68-F68</f>
        <v>200</v>
      </c>
      <c r="H69" s="9">
        <f>H68-G68</f>
        <v>200</v>
      </c>
      <c r="I69" s="5" t="s">
        <v>14</v>
      </c>
      <c r="J69" s="10" t="s">
        <v>112</v>
      </c>
    </row>
    <row r="70" spans="1:11" ht="39.75" customHeight="1" x14ac:dyDescent="0.35">
      <c r="B70" s="3" t="s">
        <v>113</v>
      </c>
      <c r="C70" s="29">
        <v>1.2</v>
      </c>
      <c r="D70" s="55">
        <f>1.046*C70</f>
        <v>1.2552000000000001</v>
      </c>
      <c r="E70" s="55">
        <f t="shared" ref="E70:H70" si="33">1.046*D70</f>
        <v>1.3129392000000002</v>
      </c>
      <c r="F70" s="55">
        <f t="shared" si="33"/>
        <v>1.3733344032000003</v>
      </c>
      <c r="G70" s="55">
        <f t="shared" si="33"/>
        <v>1.4365077857472004</v>
      </c>
      <c r="H70" s="55">
        <f t="shared" si="33"/>
        <v>1.5025871438915717</v>
      </c>
      <c r="I70" s="5" t="s">
        <v>30</v>
      </c>
      <c r="J70" s="6" t="s">
        <v>283</v>
      </c>
      <c r="K70" s="7"/>
    </row>
    <row r="71" spans="1:11" ht="15" customHeight="1" x14ac:dyDescent="0.35">
      <c r="B71" s="3" t="s">
        <v>114</v>
      </c>
      <c r="C71" s="9">
        <f t="shared" ref="C71:H71" si="34">C69*C70</f>
        <v>0</v>
      </c>
      <c r="D71" s="9">
        <f t="shared" si="34"/>
        <v>690.36</v>
      </c>
      <c r="E71" s="9">
        <f t="shared" si="34"/>
        <v>262.58784000000003</v>
      </c>
      <c r="F71" s="9">
        <f t="shared" si="34"/>
        <v>274.66688064000004</v>
      </c>
      <c r="G71" s="9">
        <f t="shared" si="34"/>
        <v>287.3015571494401</v>
      </c>
      <c r="H71" s="9">
        <f t="shared" si="34"/>
        <v>300.51742877831435</v>
      </c>
      <c r="I71" s="5" t="s">
        <v>30</v>
      </c>
      <c r="J71" s="10" t="s">
        <v>115</v>
      </c>
    </row>
    <row r="72" spans="1:11" ht="15" customHeight="1" x14ac:dyDescent="0.35">
      <c r="B72" s="3" t="s">
        <v>116</v>
      </c>
      <c r="C72" s="9">
        <f t="shared" ref="C72:H72" si="35">C40*0.01</f>
        <v>106.85621374999999</v>
      </c>
      <c r="D72" s="9">
        <f t="shared" si="35"/>
        <v>331.083324</v>
      </c>
      <c r="E72" s="9">
        <f t="shared" si="35"/>
        <v>468.8731600000001</v>
      </c>
      <c r="F72" s="9">
        <f t="shared" si="35"/>
        <v>609.03899999999999</v>
      </c>
      <c r="G72" s="9">
        <f t="shared" si="35"/>
        <v>773.94599999999991</v>
      </c>
      <c r="H72" s="9">
        <f t="shared" si="35"/>
        <v>965.29944</v>
      </c>
      <c r="I72" s="5" t="s">
        <v>30</v>
      </c>
      <c r="J72" s="10" t="s">
        <v>117</v>
      </c>
    </row>
    <row r="73" spans="1:11" ht="15" customHeight="1" x14ac:dyDescent="0.35">
      <c r="B73" s="11" t="s">
        <v>118</v>
      </c>
      <c r="C73" s="12">
        <f t="shared" ref="C73:H73" si="36">C71+C72</f>
        <v>106.85621374999999</v>
      </c>
      <c r="D73" s="12">
        <f t="shared" si="36"/>
        <v>1021.4433240000001</v>
      </c>
      <c r="E73" s="12">
        <f t="shared" si="36"/>
        <v>731.46100000000013</v>
      </c>
      <c r="F73" s="12">
        <f t="shared" si="36"/>
        <v>883.70588064000003</v>
      </c>
      <c r="G73" s="12">
        <f t="shared" si="36"/>
        <v>1061.2475571494401</v>
      </c>
      <c r="H73" s="12">
        <f t="shared" si="36"/>
        <v>1265.8168687783143</v>
      </c>
      <c r="I73" s="5" t="s">
        <v>30</v>
      </c>
      <c r="J73" s="10" t="s">
        <v>119</v>
      </c>
      <c r="K73" s="7" t="s">
        <v>82</v>
      </c>
    </row>
    <row r="75" spans="1:11" ht="15" customHeight="1" x14ac:dyDescent="0.35">
      <c r="A75" t="s">
        <v>273</v>
      </c>
      <c r="B75" s="69" t="s">
        <v>120</v>
      </c>
      <c r="C75" s="67"/>
      <c r="D75" s="67"/>
      <c r="E75" s="67"/>
      <c r="F75" s="67"/>
      <c r="G75" s="67"/>
      <c r="H75" s="67"/>
      <c r="I75" s="67"/>
      <c r="J75" s="67"/>
      <c r="K75" s="67"/>
    </row>
    <row r="76" spans="1:11" ht="39.75" customHeight="1" x14ac:dyDescent="0.35">
      <c r="B76" s="3" t="s">
        <v>121</v>
      </c>
      <c r="C76" s="4">
        <v>13</v>
      </c>
      <c r="D76" s="4">
        <v>14</v>
      </c>
      <c r="E76" s="4">
        <v>15</v>
      </c>
      <c r="F76" s="4">
        <v>15</v>
      </c>
      <c r="G76" s="4">
        <v>15</v>
      </c>
      <c r="H76" s="4">
        <v>15</v>
      </c>
      <c r="I76" s="5" t="s">
        <v>21</v>
      </c>
      <c r="J76" s="6" t="s">
        <v>122</v>
      </c>
      <c r="K76" s="7" t="s">
        <v>82</v>
      </c>
    </row>
    <row r="77" spans="1:11" ht="15" customHeight="1" x14ac:dyDescent="0.35">
      <c r="B77" s="3" t="s">
        <v>123</v>
      </c>
      <c r="C77" s="4">
        <v>30</v>
      </c>
      <c r="D77" s="4">
        <v>32</v>
      </c>
      <c r="E77" s="4">
        <v>34</v>
      </c>
      <c r="F77" s="4">
        <v>35</v>
      </c>
      <c r="G77" s="4">
        <v>36</v>
      </c>
      <c r="H77" s="4">
        <v>36</v>
      </c>
      <c r="I77" s="5" t="s">
        <v>21</v>
      </c>
      <c r="J77" s="6" t="s">
        <v>124</v>
      </c>
      <c r="K77" s="7" t="s">
        <v>82</v>
      </c>
    </row>
    <row r="78" spans="1:11" ht="15" customHeight="1" x14ac:dyDescent="0.35">
      <c r="B78" s="3" t="s">
        <v>125</v>
      </c>
      <c r="C78" s="4">
        <v>2</v>
      </c>
      <c r="D78" s="4">
        <v>2</v>
      </c>
      <c r="E78" s="4">
        <v>2</v>
      </c>
      <c r="F78" s="4">
        <v>2</v>
      </c>
      <c r="G78" s="4">
        <v>2</v>
      </c>
      <c r="H78" s="4">
        <v>2</v>
      </c>
      <c r="I78" s="5" t="s">
        <v>21</v>
      </c>
      <c r="J78" s="6" t="s">
        <v>126</v>
      </c>
      <c r="K78" s="7" t="s">
        <v>82</v>
      </c>
    </row>
    <row r="79" spans="1:11" ht="15" customHeight="1" x14ac:dyDescent="0.35">
      <c r="B79" s="3" t="s">
        <v>127</v>
      </c>
      <c r="C79" s="17">
        <f t="shared" ref="C79:H79" si="37">C76+C78-C77</f>
        <v>-15</v>
      </c>
      <c r="D79" s="17">
        <f t="shared" si="37"/>
        <v>-16</v>
      </c>
      <c r="E79" s="17">
        <f t="shared" si="37"/>
        <v>-17</v>
      </c>
      <c r="F79" s="17">
        <f t="shared" si="37"/>
        <v>-18</v>
      </c>
      <c r="G79" s="17">
        <f t="shared" si="37"/>
        <v>-19</v>
      </c>
      <c r="H79" s="17">
        <f t="shared" si="37"/>
        <v>-19</v>
      </c>
      <c r="I79" s="5" t="s">
        <v>21</v>
      </c>
      <c r="J79" s="10" t="s">
        <v>128</v>
      </c>
    </row>
    <row r="80" spans="1:11" ht="15" customHeight="1" x14ac:dyDescent="0.35">
      <c r="B80" s="3" t="s">
        <v>129</v>
      </c>
      <c r="C80" s="9">
        <f t="shared" ref="C80:H80" si="38">-C41*C76/365</f>
        <v>309.05874999999997</v>
      </c>
      <c r="D80" s="9">
        <f t="shared" si="38"/>
        <v>1028.323296</v>
      </c>
      <c r="E80" s="9">
        <f t="shared" si="38"/>
        <v>1548.7479000000003</v>
      </c>
      <c r="F80" s="9">
        <f t="shared" si="38"/>
        <v>1996.92</v>
      </c>
      <c r="G80" s="9">
        <f t="shared" si="38"/>
        <v>2519.0351999999998</v>
      </c>
      <c r="H80" s="9">
        <f t="shared" si="38"/>
        <v>3121.2</v>
      </c>
      <c r="I80" s="5" t="s">
        <v>30</v>
      </c>
      <c r="J80" s="10" t="s">
        <v>130</v>
      </c>
    </row>
    <row r="81" spans="1:11" ht="15" customHeight="1" x14ac:dyDescent="0.35">
      <c r="B81" s="3" t="s">
        <v>131</v>
      </c>
      <c r="C81" s="9">
        <f t="shared" ref="C81:H81" si="39">-C41*C77/365</f>
        <v>713.21249999999986</v>
      </c>
      <c r="D81" s="9">
        <f t="shared" si="39"/>
        <v>2350.4532479999998</v>
      </c>
      <c r="E81" s="9">
        <f t="shared" si="39"/>
        <v>3510.4952400000002</v>
      </c>
      <c r="F81" s="9">
        <f t="shared" si="39"/>
        <v>4659.4799999999996</v>
      </c>
      <c r="G81" s="9">
        <f t="shared" si="39"/>
        <v>6045.684479999999</v>
      </c>
      <c r="H81" s="9">
        <f t="shared" si="39"/>
        <v>7490.8799999999992</v>
      </c>
      <c r="I81" s="5" t="s">
        <v>30</v>
      </c>
      <c r="J81" s="10" t="s">
        <v>132</v>
      </c>
    </row>
    <row r="82" spans="1:11" ht="15" customHeight="1" x14ac:dyDescent="0.35">
      <c r="B82" s="3" t="s">
        <v>133</v>
      </c>
      <c r="C82" s="9">
        <f t="shared" ref="C82:H82" si="40">C40*C78/365</f>
        <v>58.551349999999992</v>
      </c>
      <c r="D82" s="9">
        <f t="shared" si="40"/>
        <v>181.41551999999999</v>
      </c>
      <c r="E82" s="9">
        <f t="shared" si="40"/>
        <v>256.91680000000002</v>
      </c>
      <c r="F82" s="9">
        <f t="shared" si="40"/>
        <v>333.71999999999997</v>
      </c>
      <c r="G82" s="9">
        <f t="shared" si="40"/>
        <v>424.07999999999993</v>
      </c>
      <c r="H82" s="9">
        <f t="shared" si="40"/>
        <v>528.93119999999999</v>
      </c>
      <c r="I82" s="5" t="s">
        <v>30</v>
      </c>
      <c r="J82" s="10" t="s">
        <v>134</v>
      </c>
    </row>
    <row r="83" spans="1:11" ht="15" customHeight="1" x14ac:dyDescent="0.35">
      <c r="B83" s="11" t="s">
        <v>135</v>
      </c>
      <c r="C83" s="23">
        <f t="shared" ref="C83:H83" si="41">C80+C82-C81</f>
        <v>-345.60239999999988</v>
      </c>
      <c r="D83" s="23">
        <f t="shared" si="41"/>
        <v>-1140.7144319999998</v>
      </c>
      <c r="E83" s="23">
        <f t="shared" si="41"/>
        <v>-1704.8305399999999</v>
      </c>
      <c r="F83" s="23">
        <f t="shared" si="41"/>
        <v>-2328.8399999999997</v>
      </c>
      <c r="G83" s="23">
        <f t="shared" si="41"/>
        <v>-3102.5692799999993</v>
      </c>
      <c r="H83" s="23">
        <f t="shared" si="41"/>
        <v>-3840.7487999999994</v>
      </c>
      <c r="I83" s="5" t="s">
        <v>30</v>
      </c>
      <c r="J83" s="10" t="s">
        <v>136</v>
      </c>
    </row>
    <row r="84" spans="1:11" ht="15" customHeight="1" x14ac:dyDescent="0.35">
      <c r="B84" s="3" t="s">
        <v>137</v>
      </c>
      <c r="C84" s="17"/>
      <c r="D84" s="17">
        <f>D83-C83</f>
        <v>-795.11203199999989</v>
      </c>
      <c r="E84" s="17">
        <f>E83-D83</f>
        <v>-564.11610800000017</v>
      </c>
      <c r="F84" s="17">
        <f>F83-E83</f>
        <v>-624.00945999999976</v>
      </c>
      <c r="G84" s="17">
        <f>G83-F83</f>
        <v>-773.72927999999956</v>
      </c>
      <c r="H84" s="17">
        <f>H83-G83</f>
        <v>-738.17952000000014</v>
      </c>
      <c r="I84" s="5" t="s">
        <v>30</v>
      </c>
      <c r="J84" s="10" t="s">
        <v>138</v>
      </c>
    </row>
    <row r="85" spans="1:11" ht="15" customHeight="1" x14ac:dyDescent="0.35">
      <c r="B85" s="3"/>
      <c r="C85" s="17"/>
      <c r="D85" s="17"/>
      <c r="E85" s="17"/>
      <c r="F85" s="17"/>
      <c r="G85" s="17"/>
      <c r="H85" s="17"/>
      <c r="I85" s="5"/>
      <c r="J85" s="10"/>
    </row>
    <row r="87" spans="1:11" ht="15" customHeight="1" x14ac:dyDescent="0.35">
      <c r="A87" t="s">
        <v>273</v>
      </c>
      <c r="B87" s="69" t="s">
        <v>139</v>
      </c>
      <c r="C87" s="67"/>
      <c r="D87" s="67"/>
      <c r="E87" s="67"/>
      <c r="F87" s="67"/>
      <c r="G87" s="67"/>
      <c r="H87" s="67"/>
      <c r="I87" s="67"/>
      <c r="J87" s="67"/>
      <c r="K87" s="67"/>
    </row>
    <row r="88" spans="1:11" ht="15" customHeight="1" x14ac:dyDescent="0.35">
      <c r="B88" s="3" t="s">
        <v>87</v>
      </c>
      <c r="C88" s="17">
        <f t="shared" ref="C88:H88" si="42">C51</f>
        <v>-1884.2395000000001</v>
      </c>
      <c r="D88" s="17">
        <f t="shared" si="42"/>
        <v>-1640.38446</v>
      </c>
      <c r="E88" s="17">
        <f t="shared" si="42"/>
        <v>-47.599649999997609</v>
      </c>
      <c r="F88" s="17">
        <f t="shared" si="42"/>
        <v>2072.4699999999934</v>
      </c>
      <c r="G88" s="17">
        <f t="shared" si="42"/>
        <v>5068.1965499999969</v>
      </c>
      <c r="H88" s="17">
        <f t="shared" si="42"/>
        <v>8494.6815000000079</v>
      </c>
      <c r="I88" s="5" t="s">
        <v>30</v>
      </c>
      <c r="J88" s="10" t="s">
        <v>140</v>
      </c>
    </row>
    <row r="89" spans="1:11" ht="39.75" customHeight="1" x14ac:dyDescent="0.35">
      <c r="B89" s="3" t="s">
        <v>285</v>
      </c>
      <c r="C89" s="57">
        <f>0.025*C13</f>
        <v>309.90781250000003</v>
      </c>
      <c r="D89" s="57">
        <f t="shared" ref="D89:H89" si="43">0.025*D13</f>
        <v>939.5100000000001</v>
      </c>
      <c r="E89" s="57">
        <f t="shared" si="43"/>
        <v>1296.6625000000004</v>
      </c>
      <c r="F89" s="57">
        <f t="shared" si="43"/>
        <v>1642.5</v>
      </c>
      <c r="G89" s="57">
        <f t="shared" si="43"/>
        <v>2036.7</v>
      </c>
      <c r="H89" s="57">
        <f t="shared" si="43"/>
        <v>2482</v>
      </c>
      <c r="I89" s="5" t="s">
        <v>30</v>
      </c>
      <c r="J89" s="6" t="s">
        <v>141</v>
      </c>
      <c r="K89" s="7" t="s">
        <v>82</v>
      </c>
    </row>
    <row r="90" spans="1:11" ht="15" customHeight="1" x14ac:dyDescent="0.35">
      <c r="B90" s="3" t="s">
        <v>142</v>
      </c>
      <c r="C90" s="17">
        <f t="shared" ref="C90:H90" si="44">C88-C89</f>
        <v>-2194.1473125000002</v>
      </c>
      <c r="D90" s="17">
        <f t="shared" si="44"/>
        <v>-2579.89446</v>
      </c>
      <c r="E90" s="17">
        <f t="shared" si="44"/>
        <v>-1344.262149999998</v>
      </c>
      <c r="F90" s="17">
        <f t="shared" si="44"/>
        <v>429.96999999999343</v>
      </c>
      <c r="G90" s="17">
        <f t="shared" si="44"/>
        <v>3031.4965499999971</v>
      </c>
      <c r="H90" s="17">
        <f t="shared" si="44"/>
        <v>6012.6815000000079</v>
      </c>
      <c r="I90" s="5" t="s">
        <v>30</v>
      </c>
      <c r="J90" s="10" t="s">
        <v>143</v>
      </c>
    </row>
    <row r="91" spans="1:11" ht="39.75" customHeight="1" x14ac:dyDescent="0.35">
      <c r="B91" s="3" t="s">
        <v>144</v>
      </c>
      <c r="C91" s="30">
        <v>0</v>
      </c>
      <c r="D91" s="30">
        <v>0</v>
      </c>
      <c r="E91" s="30">
        <v>0</v>
      </c>
      <c r="F91" s="30">
        <v>0</v>
      </c>
      <c r="G91" s="30">
        <v>0.1</v>
      </c>
      <c r="H91" s="30">
        <v>0.2</v>
      </c>
      <c r="I91" s="5" t="s">
        <v>34</v>
      </c>
      <c r="J91" s="6" t="s">
        <v>145</v>
      </c>
      <c r="K91" s="7" t="s">
        <v>146</v>
      </c>
    </row>
    <row r="92" spans="1:11" ht="15" customHeight="1" x14ac:dyDescent="0.35">
      <c r="B92" s="3" t="s">
        <v>147</v>
      </c>
      <c r="C92" s="17">
        <f t="shared" ref="C92:H92" si="45">-MAX(0,C90)*C91</f>
        <v>0</v>
      </c>
      <c r="D92" s="17">
        <f t="shared" si="45"/>
        <v>0</v>
      </c>
      <c r="E92" s="17">
        <f t="shared" si="45"/>
        <v>0</v>
      </c>
      <c r="F92" s="17">
        <f t="shared" si="45"/>
        <v>0</v>
      </c>
      <c r="G92" s="17">
        <f t="shared" si="45"/>
        <v>-303.14965499999971</v>
      </c>
      <c r="H92" s="17">
        <f t="shared" si="45"/>
        <v>-1202.5363000000016</v>
      </c>
      <c r="I92" s="5" t="s">
        <v>30</v>
      </c>
      <c r="J92" s="10" t="s">
        <v>148</v>
      </c>
    </row>
    <row r="93" spans="1:11" ht="15" customHeight="1" x14ac:dyDescent="0.35">
      <c r="B93" s="18" t="s">
        <v>149</v>
      </c>
      <c r="C93" s="31">
        <f t="shared" ref="C93:H93" si="46">C90+C92</f>
        <v>-2194.1473125000002</v>
      </c>
      <c r="D93" s="31">
        <f t="shared" si="46"/>
        <v>-2579.89446</v>
      </c>
      <c r="E93" s="31">
        <f t="shared" si="46"/>
        <v>-1344.262149999998</v>
      </c>
      <c r="F93" s="31">
        <f t="shared" si="46"/>
        <v>429.96999999999343</v>
      </c>
      <c r="G93" s="31">
        <f t="shared" si="46"/>
        <v>2728.3468949999974</v>
      </c>
      <c r="H93" s="31">
        <f t="shared" si="46"/>
        <v>4810.1452000000063</v>
      </c>
      <c r="I93" s="5" t="s">
        <v>30</v>
      </c>
      <c r="J93" s="10" t="s">
        <v>150</v>
      </c>
    </row>
    <row r="94" spans="1:11" ht="15" customHeight="1" x14ac:dyDescent="0.35">
      <c r="B94" s="3" t="s">
        <v>151</v>
      </c>
      <c r="C94" s="9">
        <f t="shared" ref="C94:H94" si="47">C89</f>
        <v>309.90781250000003</v>
      </c>
      <c r="D94" s="9">
        <f t="shared" si="47"/>
        <v>939.5100000000001</v>
      </c>
      <c r="E94" s="9">
        <f t="shared" si="47"/>
        <v>1296.6625000000004</v>
      </c>
      <c r="F94" s="9">
        <f t="shared" si="47"/>
        <v>1642.5</v>
      </c>
      <c r="G94" s="9">
        <f t="shared" si="47"/>
        <v>2036.7</v>
      </c>
      <c r="H94" s="9">
        <f t="shared" si="47"/>
        <v>2482</v>
      </c>
      <c r="I94" s="5" t="s">
        <v>30</v>
      </c>
      <c r="J94" s="10" t="s">
        <v>152</v>
      </c>
    </row>
    <row r="95" spans="1:11" ht="15" customHeight="1" x14ac:dyDescent="0.35">
      <c r="B95" s="3" t="s">
        <v>153</v>
      </c>
      <c r="C95" s="17">
        <f t="shared" ref="C95:H95" si="48">-C73</f>
        <v>-106.85621374999999</v>
      </c>
      <c r="D95" s="17">
        <f t="shared" si="48"/>
        <v>-1021.4433240000001</v>
      </c>
      <c r="E95" s="17">
        <f t="shared" si="48"/>
        <v>-731.46100000000013</v>
      </c>
      <c r="F95" s="17">
        <f t="shared" si="48"/>
        <v>-883.70588064000003</v>
      </c>
      <c r="G95" s="17">
        <f t="shared" si="48"/>
        <v>-1061.2475571494401</v>
      </c>
      <c r="H95" s="17">
        <f t="shared" si="48"/>
        <v>-1265.8168687783143</v>
      </c>
      <c r="I95" s="5" t="s">
        <v>30</v>
      </c>
      <c r="J95" s="10" t="s">
        <v>154</v>
      </c>
    </row>
    <row r="96" spans="1:11" ht="15" customHeight="1" x14ac:dyDescent="0.35">
      <c r="B96" s="3" t="s">
        <v>155</v>
      </c>
      <c r="C96" s="17">
        <v>0</v>
      </c>
      <c r="D96" s="17">
        <f>-D84</f>
        <v>795.11203199999989</v>
      </c>
      <c r="E96" s="17">
        <f>-E84</f>
        <v>564.11610800000017</v>
      </c>
      <c r="F96" s="17">
        <f>-F84</f>
        <v>624.00945999999976</v>
      </c>
      <c r="G96" s="17">
        <f>-G84</f>
        <v>773.72927999999956</v>
      </c>
      <c r="H96" s="17">
        <f>-H84</f>
        <v>738.17952000000014</v>
      </c>
      <c r="I96" s="5" t="s">
        <v>30</v>
      </c>
      <c r="J96" s="13" t="s">
        <v>156</v>
      </c>
    </row>
    <row r="97" spans="1:11" ht="15" customHeight="1" x14ac:dyDescent="0.35">
      <c r="B97" s="20" t="s">
        <v>157</v>
      </c>
      <c r="C97" s="25">
        <f t="shared" ref="C97:H97" si="49">C93+C94+C95+C96</f>
        <v>-1991.0957137500002</v>
      </c>
      <c r="D97" s="25">
        <f t="shared" si="49"/>
        <v>-1866.7157520000001</v>
      </c>
      <c r="E97" s="25">
        <f t="shared" si="49"/>
        <v>-214.94454199999757</v>
      </c>
      <c r="F97" s="25">
        <f t="shared" si="49"/>
        <v>1812.7735793599932</v>
      </c>
      <c r="G97" s="25">
        <f t="shared" si="49"/>
        <v>4477.5286178505576</v>
      </c>
      <c r="H97" s="25">
        <f t="shared" si="49"/>
        <v>6764.5078512216915</v>
      </c>
      <c r="I97" s="5" t="s">
        <v>30</v>
      </c>
      <c r="J97" s="10" t="s">
        <v>158</v>
      </c>
    </row>
    <row r="98" spans="1:11" ht="15" customHeight="1" x14ac:dyDescent="0.35">
      <c r="B98" s="13" t="s">
        <v>159</v>
      </c>
      <c r="C98" s="24">
        <f t="shared" ref="C98:H98" si="50">C97/C40</f>
        <v>-0.18633410672853831</v>
      </c>
      <c r="D98" s="24">
        <f t="shared" si="50"/>
        <v>-5.6382052996423342E-2</v>
      </c>
      <c r="E98" s="24">
        <f t="shared" si="50"/>
        <v>-4.5842790830679572E-3</v>
      </c>
      <c r="F98" s="24">
        <f t="shared" si="50"/>
        <v>2.976449093342123E-2</v>
      </c>
      <c r="G98" s="24">
        <f t="shared" si="50"/>
        <v>5.7853243221756528E-2</v>
      </c>
      <c r="H98" s="24">
        <f t="shared" si="50"/>
        <v>7.0076782093872247E-2</v>
      </c>
    </row>
    <row r="100" spans="1:11" ht="15" customHeight="1" x14ac:dyDescent="0.35">
      <c r="A100" t="s">
        <v>273</v>
      </c>
      <c r="B100" s="69" t="s">
        <v>160</v>
      </c>
      <c r="C100" s="67"/>
      <c r="D100" s="67"/>
      <c r="E100" s="67"/>
      <c r="F100" s="67"/>
      <c r="G100" s="67"/>
      <c r="H100" s="67"/>
      <c r="I100" s="67"/>
      <c r="J100" s="67"/>
      <c r="K100" s="67"/>
    </row>
    <row r="101" spans="1:11" ht="39.75" customHeight="1" x14ac:dyDescent="0.35">
      <c r="B101" s="3" t="s">
        <v>161</v>
      </c>
      <c r="C101" s="16">
        <v>7.0300000000000001E-2</v>
      </c>
      <c r="J101" s="6" t="s">
        <v>162</v>
      </c>
      <c r="K101" s="7" t="s">
        <v>163</v>
      </c>
    </row>
    <row r="102" spans="1:11" ht="39.75" customHeight="1" x14ac:dyDescent="0.35">
      <c r="B102" s="3" t="s">
        <v>164</v>
      </c>
      <c r="C102" s="16">
        <v>7.4999999999999997E-2</v>
      </c>
      <c r="J102" s="6" t="s">
        <v>165</v>
      </c>
      <c r="K102" s="7" t="s">
        <v>146</v>
      </c>
    </row>
    <row r="103" spans="1:11" ht="39.75" customHeight="1" x14ac:dyDescent="0.35">
      <c r="B103" s="3" t="s">
        <v>166</v>
      </c>
      <c r="C103" s="29">
        <v>1.65</v>
      </c>
      <c r="J103" s="6" t="s">
        <v>167</v>
      </c>
      <c r="K103" s="7" t="s">
        <v>168</v>
      </c>
    </row>
    <row r="104" spans="1:11" ht="15" customHeight="1" x14ac:dyDescent="0.35">
      <c r="B104" s="3" t="s">
        <v>169</v>
      </c>
      <c r="C104" s="16">
        <v>0.02</v>
      </c>
      <c r="J104" s="56" t="s">
        <v>284</v>
      </c>
      <c r="K104" s="7" t="s">
        <v>146</v>
      </c>
    </row>
    <row r="105" spans="1:11" ht="15" customHeight="1" x14ac:dyDescent="0.35">
      <c r="B105" s="32" t="s">
        <v>170</v>
      </c>
      <c r="C105" s="33">
        <f>C101+C103*C102+C104</f>
        <v>0.21404999999999999</v>
      </c>
      <c r="J105" s="13" t="s">
        <v>171</v>
      </c>
    </row>
    <row r="106" spans="1:11" ht="15" customHeight="1" x14ac:dyDescent="0.35">
      <c r="B106" s="3" t="s">
        <v>172</v>
      </c>
      <c r="C106" s="16">
        <v>0.105</v>
      </c>
      <c r="J106" s="6" t="s">
        <v>173</v>
      </c>
      <c r="K106" s="7" t="s">
        <v>163</v>
      </c>
    </row>
    <row r="107" spans="1:11" ht="15" customHeight="1" x14ac:dyDescent="0.35">
      <c r="B107" s="3" t="s">
        <v>174</v>
      </c>
      <c r="C107" s="16">
        <v>0.25169999999999998</v>
      </c>
      <c r="J107" s="6" t="s">
        <v>175</v>
      </c>
      <c r="K107" s="7" t="s">
        <v>146</v>
      </c>
    </row>
    <row r="108" spans="1:11" ht="15" customHeight="1" x14ac:dyDescent="0.35">
      <c r="B108" s="32" t="s">
        <v>176</v>
      </c>
      <c r="C108" s="33">
        <f>C106*(1-C107)</f>
        <v>7.8571499999999989E-2</v>
      </c>
      <c r="J108" s="13" t="s">
        <v>177</v>
      </c>
    </row>
    <row r="109" spans="1:11" ht="39.75" customHeight="1" x14ac:dyDescent="0.35">
      <c r="B109" s="3" t="s">
        <v>178</v>
      </c>
      <c r="C109" s="15">
        <v>0.97</v>
      </c>
      <c r="J109" s="6" t="s">
        <v>179</v>
      </c>
      <c r="K109" s="7" t="s">
        <v>180</v>
      </c>
    </row>
    <row r="110" spans="1:11" ht="15" customHeight="1" x14ac:dyDescent="0.35">
      <c r="B110" s="3" t="s">
        <v>181</v>
      </c>
      <c r="C110" s="34">
        <f>1-C109</f>
        <v>3.0000000000000027E-2</v>
      </c>
    </row>
    <row r="111" spans="1:11" ht="15" customHeight="1" x14ac:dyDescent="0.35">
      <c r="B111" s="20" t="s">
        <v>182</v>
      </c>
      <c r="C111" s="35">
        <f>C109*C105+C110*C108</f>
        <v>0.209985645</v>
      </c>
      <c r="J111" s="13" t="s">
        <v>183</v>
      </c>
    </row>
    <row r="113" spans="1:11" ht="15" customHeight="1" x14ac:dyDescent="0.35">
      <c r="A113" t="s">
        <v>273</v>
      </c>
      <c r="B113" s="69" t="s">
        <v>184</v>
      </c>
      <c r="C113" s="67"/>
      <c r="D113" s="67"/>
      <c r="E113" s="67"/>
      <c r="F113" s="67"/>
      <c r="G113" s="67"/>
      <c r="H113" s="67"/>
      <c r="I113" s="67"/>
      <c r="J113" s="67"/>
      <c r="K113" s="67"/>
    </row>
    <row r="114" spans="1:11" ht="15" customHeight="1" x14ac:dyDescent="0.35">
      <c r="B114" s="3" t="s">
        <v>157</v>
      </c>
      <c r="C114" s="17">
        <f t="shared" ref="C114:H114" si="51">C97</f>
        <v>-1991.0957137500002</v>
      </c>
      <c r="D114" s="17">
        <f t="shared" si="51"/>
        <v>-1866.7157520000001</v>
      </c>
      <c r="E114" s="17">
        <f t="shared" si="51"/>
        <v>-214.94454199999757</v>
      </c>
      <c r="F114" s="17">
        <f t="shared" si="51"/>
        <v>1812.7735793599932</v>
      </c>
      <c r="G114" s="17">
        <f t="shared" si="51"/>
        <v>4477.5286178505576</v>
      </c>
      <c r="H114" s="17">
        <f t="shared" si="51"/>
        <v>6764.5078512216915</v>
      </c>
      <c r="I114" s="13" t="s">
        <v>30</v>
      </c>
      <c r="J114" s="13" t="s">
        <v>185</v>
      </c>
    </row>
    <row r="115" spans="1:11" ht="15" customHeight="1" x14ac:dyDescent="0.35">
      <c r="B115" s="13" t="s">
        <v>186</v>
      </c>
      <c r="C115" s="36">
        <v>0.5</v>
      </c>
      <c r="D115" s="36">
        <v>1.5</v>
      </c>
      <c r="E115" s="36">
        <v>2.5</v>
      </c>
      <c r="F115" s="36">
        <v>3.5</v>
      </c>
      <c r="G115" s="36">
        <v>4.5</v>
      </c>
      <c r="H115" s="36">
        <v>5.5</v>
      </c>
      <c r="I115" s="13" t="s">
        <v>187</v>
      </c>
    </row>
    <row r="116" spans="1:11" ht="15" customHeight="1" x14ac:dyDescent="0.35">
      <c r="B116" s="13" t="s">
        <v>188</v>
      </c>
      <c r="C116" s="37">
        <f t="shared" ref="C116:G116" si="52">1/(1+$C$111)^C115</f>
        <v>0.90909630170087463</v>
      </c>
      <c r="D116" s="37">
        <f t="shared" si="52"/>
        <v>0.75132817108824024</v>
      </c>
      <c r="E116" s="37">
        <f t="shared" si="52"/>
        <v>0.62093973940347058</v>
      </c>
      <c r="F116" s="37">
        <f t="shared" si="52"/>
        <v>0.51317942652408133</v>
      </c>
      <c r="G116" s="37">
        <f t="shared" si="52"/>
        <v>0.42412026014083942</v>
      </c>
      <c r="H116" s="37">
        <f>1/(1+$C$111)^H115</f>
        <v>0.35051677009014387</v>
      </c>
      <c r="I116" s="13" t="s">
        <v>189</v>
      </c>
      <c r="J116" s="13" t="s">
        <v>190</v>
      </c>
    </row>
    <row r="117" spans="1:11" ht="15" customHeight="1" x14ac:dyDescent="0.35">
      <c r="B117" s="18" t="s">
        <v>191</v>
      </c>
      <c r="C117" s="31">
        <f t="shared" ref="C117:H117" si="53">C114*C116</f>
        <v>-1810.0977497025885</v>
      </c>
      <c r="D117" s="31">
        <f t="shared" si="53"/>
        <v>-1402.5161318917692</v>
      </c>
      <c r="E117" s="31">
        <f t="shared" si="53"/>
        <v>-133.46760789567682</v>
      </c>
      <c r="F117" s="31">
        <f t="shared" si="53"/>
        <v>930.27810587396755</v>
      </c>
      <c r="G117" s="31">
        <f t="shared" si="53"/>
        <v>1899.0106021908316</v>
      </c>
      <c r="H117" s="31">
        <f t="shared" si="53"/>
        <v>2371.0734432596469</v>
      </c>
      <c r="I117" s="5" t="s">
        <v>30</v>
      </c>
      <c r="J117" s="10" t="s">
        <v>192</v>
      </c>
    </row>
    <row r="118" spans="1:11" ht="15" customHeight="1" x14ac:dyDescent="0.35">
      <c r="B118" s="26" t="s">
        <v>193</v>
      </c>
      <c r="C118" s="38">
        <f>SUM(C117:H117)</f>
        <v>1854.2806618344114</v>
      </c>
    </row>
    <row r="120" spans="1:11" ht="15" customHeight="1" x14ac:dyDescent="0.35">
      <c r="B120" s="3" t="s">
        <v>194</v>
      </c>
      <c r="C120" s="16">
        <v>0.05</v>
      </c>
      <c r="J120" s="39" t="s">
        <v>195</v>
      </c>
      <c r="K120" s="7" t="s">
        <v>146</v>
      </c>
    </row>
    <row r="121" spans="1:11" ht="15" customHeight="1" x14ac:dyDescent="0.35">
      <c r="B121" s="3" t="s">
        <v>196</v>
      </c>
      <c r="C121" s="9">
        <f>H97*(1+C120)</f>
        <v>7102.7332437827763</v>
      </c>
    </row>
    <row r="122" spans="1:11" ht="15" customHeight="1" x14ac:dyDescent="0.35">
      <c r="B122" s="26" t="s">
        <v>197</v>
      </c>
      <c r="C122" s="40">
        <f>C121/(C111-C120)</f>
        <v>44396.065933182792</v>
      </c>
      <c r="J122" s="13" t="s">
        <v>198</v>
      </c>
    </row>
    <row r="123" spans="1:11" ht="15" customHeight="1" x14ac:dyDescent="0.35">
      <c r="B123" s="32" t="s">
        <v>199</v>
      </c>
      <c r="C123" s="41">
        <f>C122*H116</f>
        <v>15561.565635608302</v>
      </c>
      <c r="J123" s="13" t="s">
        <v>200</v>
      </c>
    </row>
    <row r="125" spans="1:11" ht="15" customHeight="1" x14ac:dyDescent="0.35">
      <c r="B125" s="11" t="s">
        <v>201</v>
      </c>
      <c r="C125" s="12">
        <f>C118+C123</f>
        <v>17415.846297442713</v>
      </c>
      <c r="J125" s="13" t="s">
        <v>202</v>
      </c>
    </row>
    <row r="126" spans="1:11" ht="15" customHeight="1" x14ac:dyDescent="0.35">
      <c r="B126" s="3" t="s">
        <v>203</v>
      </c>
      <c r="C126" s="42">
        <v>-200</v>
      </c>
      <c r="J126" s="39" t="s">
        <v>204</v>
      </c>
    </row>
    <row r="127" spans="1:11" ht="39.75" customHeight="1" x14ac:dyDescent="0.35">
      <c r="B127" s="3" t="s">
        <v>205</v>
      </c>
      <c r="C127" s="4">
        <v>7470</v>
      </c>
      <c r="J127" s="39" t="s">
        <v>206</v>
      </c>
      <c r="K127" s="7" t="s">
        <v>180</v>
      </c>
    </row>
    <row r="128" spans="1:11" ht="15" customHeight="1" x14ac:dyDescent="0.35">
      <c r="B128" s="20" t="s">
        <v>207</v>
      </c>
      <c r="C128" s="21">
        <f>C125+C126+C127</f>
        <v>24685.846297442713</v>
      </c>
    </row>
    <row r="129" spans="1:11" ht="15" customHeight="1" x14ac:dyDescent="0.35">
      <c r="B129" s="58" t="s">
        <v>286</v>
      </c>
      <c r="C129" s="43">
        <f>C128/96/100</f>
        <v>2.5714423226502827</v>
      </c>
    </row>
    <row r="131" spans="1:11" ht="15" customHeight="1" x14ac:dyDescent="0.35">
      <c r="A131" t="s">
        <v>273</v>
      </c>
      <c r="B131" s="69" t="s">
        <v>208</v>
      </c>
      <c r="C131" s="67"/>
      <c r="D131" s="67"/>
      <c r="E131" s="67"/>
      <c r="F131" s="67"/>
      <c r="G131" s="67"/>
      <c r="H131" s="67"/>
      <c r="I131" s="67"/>
      <c r="J131" s="67"/>
      <c r="K131" s="67"/>
    </row>
    <row r="132" spans="1:11" ht="15" customHeight="1" x14ac:dyDescent="0.35">
      <c r="B132" s="70" t="s">
        <v>209</v>
      </c>
      <c r="C132" s="67"/>
      <c r="D132" s="67"/>
      <c r="E132" s="67"/>
      <c r="F132" s="67"/>
      <c r="G132" s="67"/>
      <c r="H132" s="67"/>
      <c r="I132" s="67"/>
      <c r="J132" s="67"/>
      <c r="K132" s="67"/>
    </row>
    <row r="133" spans="1:11" ht="15" customHeight="1" x14ac:dyDescent="0.35">
      <c r="B133" s="2" t="s">
        <v>210</v>
      </c>
      <c r="C133" s="2" t="s">
        <v>211</v>
      </c>
      <c r="D133" s="2" t="s">
        <v>212</v>
      </c>
      <c r="E133" s="2" t="s">
        <v>213</v>
      </c>
      <c r="F133" s="2" t="s">
        <v>214</v>
      </c>
      <c r="G133" s="2" t="s">
        <v>215</v>
      </c>
      <c r="H133" s="2" t="s">
        <v>216</v>
      </c>
      <c r="K133" s="2" t="s">
        <v>11</v>
      </c>
    </row>
    <row r="134" spans="1:11" ht="15" customHeight="1" x14ac:dyDescent="0.35">
      <c r="B134" s="44" t="s">
        <v>217</v>
      </c>
      <c r="C134" s="45" t="s">
        <v>218</v>
      </c>
      <c r="D134" s="46">
        <v>35</v>
      </c>
      <c r="E134" s="46">
        <v>8.5</v>
      </c>
      <c r="F134" s="47">
        <v>4.0999999999999996</v>
      </c>
      <c r="G134" s="47">
        <v>0.75</v>
      </c>
      <c r="H134" s="48" t="s">
        <v>219</v>
      </c>
      <c r="K134" s="65" t="s">
        <v>289</v>
      </c>
    </row>
    <row r="135" spans="1:11" ht="15" customHeight="1" x14ac:dyDescent="0.35">
      <c r="B135" s="44" t="s">
        <v>220</v>
      </c>
      <c r="C135" s="45" t="s">
        <v>218</v>
      </c>
      <c r="D135" s="46">
        <v>14.5</v>
      </c>
      <c r="E135" s="46">
        <v>4.5</v>
      </c>
      <c r="F135" s="47">
        <v>3.2</v>
      </c>
      <c r="G135" s="47">
        <v>0.65</v>
      </c>
      <c r="H135" s="48" t="s">
        <v>221</v>
      </c>
      <c r="K135" s="65" t="s">
        <v>290</v>
      </c>
    </row>
    <row r="136" spans="1:11" ht="15" customHeight="1" x14ac:dyDescent="0.35">
      <c r="B136" s="44" t="s">
        <v>223</v>
      </c>
      <c r="C136" s="45" t="s">
        <v>224</v>
      </c>
      <c r="D136" s="46">
        <v>95</v>
      </c>
      <c r="E136" s="46">
        <v>13.5</v>
      </c>
      <c r="F136" s="47">
        <v>7</v>
      </c>
      <c r="G136" s="47">
        <v>0.4</v>
      </c>
      <c r="H136" s="48" t="s">
        <v>225</v>
      </c>
    </row>
    <row r="137" spans="1:11" ht="15" customHeight="1" x14ac:dyDescent="0.35">
      <c r="B137" s="44" t="s">
        <v>226</v>
      </c>
      <c r="C137" s="45" t="s">
        <v>227</v>
      </c>
      <c r="D137" s="46">
        <v>40</v>
      </c>
      <c r="E137" s="46">
        <v>18</v>
      </c>
      <c r="F137" s="47">
        <v>2.2000000000000002</v>
      </c>
      <c r="G137" s="47">
        <v>0.3</v>
      </c>
      <c r="H137" s="48" t="s">
        <v>228</v>
      </c>
    </row>
    <row r="138" spans="1:11" ht="15" customHeight="1" x14ac:dyDescent="0.35">
      <c r="B138" s="11" t="s">
        <v>229</v>
      </c>
      <c r="F138" s="49">
        <f>MEDIAN(F134:F135)</f>
        <v>3.65</v>
      </c>
      <c r="G138" s="49">
        <f>MEDIAN(G134:G135)</f>
        <v>0.7</v>
      </c>
    </row>
    <row r="140" spans="1:11" ht="15" customHeight="1" x14ac:dyDescent="0.35">
      <c r="B140" s="59" t="s">
        <v>287</v>
      </c>
      <c r="C140" s="61">
        <f>D28</f>
        <v>33108.332399999999</v>
      </c>
    </row>
    <row r="141" spans="1:11" ht="15" customHeight="1" x14ac:dyDescent="0.35">
      <c r="B141" s="59" t="s">
        <v>288</v>
      </c>
      <c r="C141" s="61">
        <f>D13</f>
        <v>37580.400000000001</v>
      </c>
    </row>
    <row r="142" spans="1:11" ht="15" customHeight="1" x14ac:dyDescent="0.35">
      <c r="B142" s="26" t="s">
        <v>230</v>
      </c>
      <c r="C142" s="60">
        <f>C140*F138</f>
        <v>120845.41326</v>
      </c>
      <c r="J142" s="13" t="s">
        <v>231</v>
      </c>
    </row>
    <row r="143" spans="1:11" ht="15" customHeight="1" x14ac:dyDescent="0.35">
      <c r="B143" s="26" t="s">
        <v>232</v>
      </c>
      <c r="C143" s="60">
        <f>C141*G138</f>
        <v>26306.28</v>
      </c>
      <c r="J143" s="13" t="s">
        <v>233</v>
      </c>
    </row>
    <row r="145" spans="2:11" ht="15" customHeight="1" x14ac:dyDescent="0.35">
      <c r="B145" s="70" t="s">
        <v>234</v>
      </c>
      <c r="C145" s="67"/>
      <c r="D145" s="67"/>
      <c r="E145" s="67"/>
      <c r="F145" s="67"/>
      <c r="G145" s="67"/>
      <c r="H145" s="67"/>
      <c r="I145" s="67"/>
      <c r="J145" s="67"/>
      <c r="K145" s="67"/>
    </row>
    <row r="146" spans="2:11" ht="15" customHeight="1" x14ac:dyDescent="0.35">
      <c r="B146" s="2" t="s">
        <v>235</v>
      </c>
      <c r="C146" s="2" t="s">
        <v>236</v>
      </c>
      <c r="D146" s="2" t="s">
        <v>237</v>
      </c>
      <c r="E146" s="2" t="s">
        <v>238</v>
      </c>
      <c r="F146" s="2" t="s">
        <v>214</v>
      </c>
      <c r="G146" s="2"/>
      <c r="H146" s="2" t="s">
        <v>216</v>
      </c>
      <c r="K146" s="2" t="s">
        <v>11</v>
      </c>
    </row>
    <row r="147" spans="2:11" ht="15" customHeight="1" x14ac:dyDescent="0.35">
      <c r="B147" s="44" t="s">
        <v>239</v>
      </c>
      <c r="C147" s="45" t="s">
        <v>240</v>
      </c>
      <c r="D147" s="46">
        <v>7</v>
      </c>
      <c r="E147" s="46">
        <v>1.5</v>
      </c>
      <c r="F147" s="50">
        <v>4.7</v>
      </c>
      <c r="H147" s="48" t="s">
        <v>241</v>
      </c>
      <c r="K147" s="7" t="s">
        <v>180</v>
      </c>
    </row>
    <row r="148" spans="2:11" ht="15" customHeight="1" x14ac:dyDescent="0.35">
      <c r="B148" s="44" t="s">
        <v>242</v>
      </c>
      <c r="C148" s="45" t="s">
        <v>243</v>
      </c>
      <c r="D148" s="46">
        <v>5</v>
      </c>
      <c r="E148" s="46">
        <v>1.2</v>
      </c>
      <c r="F148" s="50">
        <v>4.2</v>
      </c>
      <c r="H148" s="48" t="s">
        <v>244</v>
      </c>
    </row>
    <row r="149" spans="2:11" ht="15" customHeight="1" x14ac:dyDescent="0.35">
      <c r="B149" s="44" t="s">
        <v>245</v>
      </c>
      <c r="C149" s="45" t="s">
        <v>246</v>
      </c>
      <c r="D149" s="46">
        <v>3.6</v>
      </c>
      <c r="E149" s="46">
        <v>0.9</v>
      </c>
      <c r="F149" s="50">
        <v>4</v>
      </c>
      <c r="H149" s="48" t="s">
        <v>247</v>
      </c>
    </row>
    <row r="150" spans="2:11" ht="15" customHeight="1" x14ac:dyDescent="0.35">
      <c r="B150" s="44" t="s">
        <v>248</v>
      </c>
      <c r="C150" s="45" t="s">
        <v>249</v>
      </c>
      <c r="D150" s="46">
        <v>0.6</v>
      </c>
      <c r="E150" s="46">
        <v>0.2</v>
      </c>
      <c r="F150" s="50">
        <v>3</v>
      </c>
      <c r="H150" s="48" t="s">
        <v>250</v>
      </c>
    </row>
    <row r="151" spans="2:11" ht="15" customHeight="1" x14ac:dyDescent="0.35">
      <c r="B151" s="44" t="s">
        <v>251</v>
      </c>
      <c r="C151" s="45" t="s">
        <v>243</v>
      </c>
      <c r="D151" s="46">
        <v>11.3</v>
      </c>
      <c r="E151" s="46">
        <v>1.1000000000000001</v>
      </c>
      <c r="F151" s="50">
        <v>10.3</v>
      </c>
      <c r="H151" s="48" t="s">
        <v>252</v>
      </c>
      <c r="K151" s="7" t="s">
        <v>222</v>
      </c>
    </row>
    <row r="152" spans="2:11" ht="15" customHeight="1" x14ac:dyDescent="0.35">
      <c r="B152" s="11" t="s">
        <v>253</v>
      </c>
      <c r="F152" s="51">
        <f>MEDIAN(F147:F151)</f>
        <v>4.2</v>
      </c>
    </row>
    <row r="153" spans="2:11" ht="15" customHeight="1" x14ac:dyDescent="0.35">
      <c r="B153" s="26" t="s">
        <v>254</v>
      </c>
      <c r="C153" s="60">
        <f>C140*F152</f>
        <v>139054.99608000001</v>
      </c>
    </row>
    <row r="155" spans="2:11" ht="15" customHeight="1" x14ac:dyDescent="0.35">
      <c r="B155" s="70" t="s">
        <v>255</v>
      </c>
      <c r="C155" s="67"/>
      <c r="D155" s="67"/>
      <c r="E155" s="67"/>
      <c r="F155" s="67"/>
      <c r="G155" s="67"/>
      <c r="H155" s="67"/>
      <c r="I155" s="67"/>
      <c r="J155" s="67"/>
      <c r="K155" s="67"/>
    </row>
    <row r="156" spans="2:11" ht="15" customHeight="1" x14ac:dyDescent="0.35">
      <c r="B156" s="2" t="s">
        <v>256</v>
      </c>
      <c r="C156" s="2" t="s">
        <v>257</v>
      </c>
      <c r="D156" s="2" t="s">
        <v>258</v>
      </c>
      <c r="E156" s="2" t="s">
        <v>259</v>
      </c>
      <c r="F156" s="73" t="s">
        <v>260</v>
      </c>
      <c r="G156" s="74"/>
      <c r="H156" s="75"/>
      <c r="K156" s="2"/>
    </row>
    <row r="157" spans="2:11" ht="15" customHeight="1" x14ac:dyDescent="0.35">
      <c r="B157" s="52" t="s">
        <v>261</v>
      </c>
      <c r="C157" s="62">
        <f>C128*0.75</f>
        <v>18514.384723082036</v>
      </c>
      <c r="D157" s="63">
        <f>C128</f>
        <v>24685.846297442713</v>
      </c>
      <c r="E157" s="62">
        <f>C128*1.3</f>
        <v>32091.600186675529</v>
      </c>
      <c r="F157" s="71" t="s">
        <v>262</v>
      </c>
      <c r="G157" s="67"/>
      <c r="H157" s="67"/>
    </row>
    <row r="158" spans="2:11" ht="15" customHeight="1" x14ac:dyDescent="0.35">
      <c r="B158" s="52" t="s">
        <v>263</v>
      </c>
      <c r="C158" s="62">
        <f>C142*0.8</f>
        <v>96676.330608000004</v>
      </c>
      <c r="D158" s="63">
        <f>C142</f>
        <v>120845.41326</v>
      </c>
      <c r="E158" s="62">
        <f>C142*1.2</f>
        <v>145014.49591199998</v>
      </c>
      <c r="F158" s="71" t="s">
        <v>264</v>
      </c>
      <c r="G158" s="67"/>
      <c r="H158" s="67"/>
    </row>
    <row r="159" spans="2:11" ht="15" customHeight="1" x14ac:dyDescent="0.35">
      <c r="B159" s="52" t="s">
        <v>265</v>
      </c>
      <c r="C159" s="62">
        <f>C143*0.8</f>
        <v>21045.024000000001</v>
      </c>
      <c r="D159" s="63">
        <f>C143</f>
        <v>26306.28</v>
      </c>
      <c r="E159" s="62">
        <f>C143*1.2</f>
        <v>31567.535999999996</v>
      </c>
      <c r="F159" s="71" t="s">
        <v>264</v>
      </c>
      <c r="G159" s="67"/>
      <c r="H159" s="67"/>
    </row>
    <row r="160" spans="2:11" ht="15" customHeight="1" x14ac:dyDescent="0.35">
      <c r="B160" s="52" t="s">
        <v>266</v>
      </c>
      <c r="C160" s="62">
        <f>C153*0.8</f>
        <v>111243.99686400002</v>
      </c>
      <c r="D160" s="63">
        <f>C153</f>
        <v>139054.99608000001</v>
      </c>
      <c r="E160" s="62">
        <f>C153*1.2</f>
        <v>166865.99529600001</v>
      </c>
      <c r="F160" s="71" t="s">
        <v>267</v>
      </c>
      <c r="G160" s="67"/>
      <c r="H160" s="67"/>
    </row>
    <row r="162" spans="2:8" ht="15" customHeight="1" x14ac:dyDescent="0.35">
      <c r="B162" s="20" t="s">
        <v>268</v>
      </c>
      <c r="C162" s="64">
        <f>MIN(C157:C160)</f>
        <v>18514.384723082036</v>
      </c>
      <c r="D162" s="64">
        <f>AVERAGE(D157:D160)</f>
        <v>77723.13390936068</v>
      </c>
      <c r="E162" s="64">
        <f>MAX(E157:E160)</f>
        <v>166865.99529600001</v>
      </c>
      <c r="F162" s="68" t="s">
        <v>269</v>
      </c>
      <c r="G162" s="67"/>
      <c r="H162" s="67"/>
    </row>
  </sheetData>
  <mergeCells count="23">
    <mergeCell ref="B100:K100"/>
    <mergeCell ref="B113:K113"/>
    <mergeCell ref="F160:H160"/>
    <mergeCell ref="B39:K39"/>
    <mergeCell ref="B67:K67"/>
    <mergeCell ref="F159:H159"/>
    <mergeCell ref="B54:K54"/>
    <mergeCell ref="B2:K2"/>
    <mergeCell ref="F162:H162"/>
    <mergeCell ref="B22:K22"/>
    <mergeCell ref="B145:K145"/>
    <mergeCell ref="B132:K132"/>
    <mergeCell ref="B16:K16"/>
    <mergeCell ref="F158:H158"/>
    <mergeCell ref="B87:K87"/>
    <mergeCell ref="B7:K7"/>
    <mergeCell ref="B3:K3"/>
    <mergeCell ref="B155:K155"/>
    <mergeCell ref="B131:K131"/>
    <mergeCell ref="F157:H157"/>
    <mergeCell ref="B32:K32"/>
    <mergeCell ref="B75:K75"/>
    <mergeCell ref="F156:H156"/>
  </mergeCells>
  <hyperlinks>
    <hyperlink ref="K8" r:id="rId1" xr:uid="{00000000-0004-0000-0000-000000000000}"/>
    <hyperlink ref="K9" r:id="rId2" xr:uid="{00000000-0004-0000-0000-000001000000}"/>
    <hyperlink ref="K10" r:id="rId3" display="https://entrackr.com/fintrackr/zepto-spent-rs-5747-cr-to-earn-rs-4454-cr-in-fy24-8438575" xr:uid="{00000000-0004-0000-0000-000002000000}"/>
    <hyperlink ref="K11" r:id="rId4" xr:uid="{00000000-0004-0000-0000-000003000000}"/>
    <hyperlink ref="K17" r:id="rId5" xr:uid="{00000000-0004-0000-0000-000005000000}"/>
    <hyperlink ref="K18" r:id="rId6" xr:uid="{00000000-0004-0000-0000-000006000000}"/>
    <hyperlink ref="K19" r:id="rId7" xr:uid="{00000000-0004-0000-0000-000007000000}"/>
    <hyperlink ref="K20" r:id="rId8" display="Eternal Delivery+platform fee " xr:uid="{00000000-0004-0000-0000-000008000000}"/>
    <hyperlink ref="K33" r:id="rId9" xr:uid="{00000000-0004-0000-0000-00000A000000}"/>
    <hyperlink ref="K34" r:id="rId10" xr:uid="{00000000-0004-0000-0000-00000B000000}"/>
    <hyperlink ref="K35" r:id="rId11" xr:uid="{00000000-0004-0000-0000-00000C000000}"/>
    <hyperlink ref="K36" r:id="rId12" xr:uid="{00000000-0004-0000-0000-00000D000000}"/>
    <hyperlink ref="K37" r:id="rId13" xr:uid="{00000000-0004-0000-0000-00000E000000}"/>
    <hyperlink ref="K47" r:id="rId14" xr:uid="{00000000-0004-0000-0000-00000F000000}"/>
    <hyperlink ref="K52" r:id="rId15" xr:uid="{00000000-0004-0000-0000-000010000000}"/>
    <hyperlink ref="K68" r:id="rId16" xr:uid="{00000000-0004-0000-0000-000011000000}"/>
    <hyperlink ref="K73" r:id="rId17" xr:uid="{00000000-0004-0000-0000-000013000000}"/>
    <hyperlink ref="K76" r:id="rId18" xr:uid="{00000000-0004-0000-0000-000014000000}"/>
    <hyperlink ref="K77" r:id="rId19" xr:uid="{00000000-0004-0000-0000-000015000000}"/>
    <hyperlink ref="K78" r:id="rId20" xr:uid="{00000000-0004-0000-0000-000016000000}"/>
    <hyperlink ref="K89" r:id="rId21" xr:uid="{00000000-0004-0000-0000-000017000000}"/>
    <hyperlink ref="K91" r:id="rId22" xr:uid="{00000000-0004-0000-0000-000018000000}"/>
    <hyperlink ref="K101" r:id="rId23" xr:uid="{00000000-0004-0000-0000-000019000000}"/>
    <hyperlink ref="K102" r:id="rId24" xr:uid="{00000000-0004-0000-0000-00001A000000}"/>
    <hyperlink ref="K103" r:id="rId25" xr:uid="{00000000-0004-0000-0000-00001B000000}"/>
    <hyperlink ref="K104" r:id="rId26" xr:uid="{00000000-0004-0000-0000-00001C000000}"/>
    <hyperlink ref="K106" r:id="rId27" xr:uid="{00000000-0004-0000-0000-00001D000000}"/>
    <hyperlink ref="K107" r:id="rId28" xr:uid="{00000000-0004-0000-0000-00001E000000}"/>
    <hyperlink ref="K109" r:id="rId29" xr:uid="{00000000-0004-0000-0000-00001F000000}"/>
    <hyperlink ref="K120" r:id="rId30" xr:uid="{00000000-0004-0000-0000-000020000000}"/>
    <hyperlink ref="K127" r:id="rId31" xr:uid="{00000000-0004-0000-0000-000021000000}"/>
    <hyperlink ref="K134" r:id="rId32" display="NSE Eternal" xr:uid="{00000000-0004-0000-0000-000022000000}"/>
    <hyperlink ref="K135" r:id="rId33" display="NSE Swiggy" xr:uid="{00000000-0004-0000-0000-000023000000}"/>
    <hyperlink ref="K147" r:id="rId34" xr:uid="{00000000-0004-0000-0000-000024000000}"/>
    <hyperlink ref="K151" r:id="rId35" xr:uid="{00000000-0004-0000-0000-000025000000}"/>
    <hyperlink ref="L10" r:id="rId36" xr:uid="{F0B59358-64F8-478D-8696-2154C52065B5}"/>
    <hyperlink ref="K13" r:id="rId37" xr:uid="{C428A582-C2B1-485D-90FD-10F38EBBD68A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Zepto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Bhattacharya, Bodhisatwa</cp:lastModifiedBy>
  <cp:revision>0</cp:revision>
  <dcterms:created xsi:type="dcterms:W3CDTF">2026-05-28T16:29:59Z</dcterms:created>
  <dcterms:modified xsi:type="dcterms:W3CDTF">2026-05-28T22:54:05Z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2026-05-28T21:55:56Z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8538ebd9-b274-406b-a341-bd07fefdb03c</vt:lpwstr>
  </property>
  <property fmtid="{D5CDD505-2E9C-101B-9397-08002B2CF9AE}" pid="8" name="MSIP_Label_b0d5c4f4-7a29-4385-b7a5-afbe2154ae6f_ContentBits">
    <vt:lpwstr>0</vt:lpwstr>
  </property>
  <property fmtid="{D5CDD505-2E9C-101B-9397-08002B2CF9AE}" pid="9" name="MSIP_Label_b0d5c4f4-7a29-4385-b7a5-afbe2154ae6f_Tag">
    <vt:lpwstr>10, 3, 0, 1</vt:lpwstr>
  </property>
</Properties>
</file>