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ttacharya Bodhis\Downloads\"/>
    </mc:Choice>
  </mc:AlternateContent>
  <xr:revisionPtr revIDLastSave="0" documentId="8_{E9A9E700-95A9-4428-B7F5-7F62AF9BED91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verview" sheetId="1" r:id="rId1"/>
    <sheet name="Project Plan" sheetId="2" r:id="rId2"/>
    <sheet name="Milestones &amp; Gates" sheetId="3" r:id="rId3"/>
    <sheet name="RACI Matrix" sheetId="4" r:id="rId4"/>
    <sheet name="Execution Checklist" sheetId="5" r:id="rId5"/>
    <sheet name="Risk Register" sheetId="6" r:id="rId6"/>
    <sheet name="Status Report" sheetId="7" r:id="rId7"/>
    <sheet name="Decision Lo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6" l="1"/>
  <c r="F15" i="6"/>
  <c r="F14" i="6"/>
  <c r="F13" i="6"/>
  <c r="F12" i="6"/>
  <c r="F11" i="6"/>
  <c r="F10" i="6"/>
  <c r="F9" i="6"/>
  <c r="F8" i="6"/>
  <c r="F7" i="6"/>
  <c r="F6" i="6"/>
  <c r="F5" i="6"/>
  <c r="E3" i="5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<sst xmlns="http://schemas.openxmlformats.org/spreadsheetml/2006/main" count="1211" uniqueCount="522">
  <si>
    <t>Agentic AI Offering — Project Plan &amp; Execution Pack</t>
  </si>
  <si>
    <t>Complex Project Manager working pack • 8 phases • RACI • Risks • Checklists • Templates</t>
  </si>
  <si>
    <t>Purpose</t>
  </si>
  <si>
    <t>Provide a single source of truth for planning, executing and governing an Agentic AI offering — from use-case discovery through scale-up. Designed to be cloned per engagement.</t>
  </si>
  <si>
    <t>Workbook contents</t>
  </si>
  <si>
    <t>1) Project Plan  2) Milestones &amp; Gates  3) RACI Matrix  4) Execution Checklist  5) Risk Register  6) Status Report template  7) Decision Log template</t>
  </si>
  <si>
    <t>How to use</t>
  </si>
  <si>
    <t>• Tailor durations and owners in 'Project Plan' • Run a stage-gate review at every milestone in 'Milestones &amp; Gates' • Re-score risks weekly • Refresh status with the template before every steerco.</t>
  </si>
  <si>
    <t>Assumed team archetypes</t>
  </si>
  <si>
    <t>Sponsor • Product Owner • Project Manager • Solution Architect • AI/ML Engineer • Data Engineer • MLOps/Platform • Security &amp; Risk • UX / Designer • Business SME • QA / Eval Lead • Change &amp; Adoption Lead</t>
  </si>
  <si>
    <t>Default cadence</t>
  </si>
  <si>
    <t>Daily stand-up (build phases) • Weekly status to PMO • Bi-weekly steerco • Stage-gate review at each phase exit</t>
  </si>
  <si>
    <t>The 8 phases at a glance</t>
  </si>
  <si>
    <t>#</t>
  </si>
  <si>
    <t>Phase</t>
  </si>
  <si>
    <t>Primary outcome</t>
  </si>
  <si>
    <t>Duration (wks)</t>
  </si>
  <si>
    <t>Lead role</t>
  </si>
  <si>
    <t>Exit gate</t>
  </si>
  <si>
    <t>Discovery &amp; Use-Case Definition</t>
  </si>
  <si>
    <t>Prioritised use case + value case</t>
  </si>
  <si>
    <t>Product Owner</t>
  </si>
  <si>
    <t>Use-case charter signed-off</t>
  </si>
  <si>
    <t>Strategy, Architecture &amp; Design</t>
  </si>
  <si>
    <t>Target agent architecture &amp; tech stack</t>
  </si>
  <si>
    <t>Solution Architect</t>
  </si>
  <si>
    <t>Architecture review board approval</t>
  </si>
  <si>
    <t>Data Readiness &amp; Infra Setup</t>
  </si>
  <si>
    <t>Data, KB, env, security ready</t>
  </si>
  <si>
    <t>Data Engineer</t>
  </si>
  <si>
    <t>Data &amp; infra readiness review</t>
  </si>
  <si>
    <t>Build &amp; Develop Agent</t>
  </si>
  <si>
    <t>Working MVP agent in dev</t>
  </si>
  <si>
    <t>AI/ML Engineer</t>
  </si>
  <si>
    <t>MVP demo + code review</t>
  </si>
  <si>
    <t>Test, Eval &amp; Red-Team</t>
  </si>
  <si>
    <t>Eval scorecard meets thresholds</t>
  </si>
  <si>
    <t>QA / Eval Lead</t>
  </si>
  <si>
    <t>Quality &amp; safety gate passed</t>
  </si>
  <si>
    <t>Pilot / UAT</t>
  </si>
  <si>
    <t>Business sign-off from pilot users</t>
  </si>
  <si>
    <t>Business SME</t>
  </si>
  <si>
    <t>Go / No-Go for production</t>
  </si>
  <si>
    <t>Deployment &amp; Change Mgmt</t>
  </si>
  <si>
    <t>Live agent + trained users</t>
  </si>
  <si>
    <t>Project Manager</t>
  </si>
  <si>
    <t>Production go-live</t>
  </si>
  <si>
    <t>Monitor, Optimise &amp; Scale</t>
  </si>
  <si>
    <t>Steady-state ops + scale plan</t>
  </si>
  <si>
    <t>Ongoing</t>
  </si>
  <si>
    <t>MLOps / Platform</t>
  </si>
  <si>
    <t>Quarterly governance review</t>
  </si>
  <si>
    <t>Project Plan — Phases, tasks, owners, durations</t>
  </si>
  <si>
    <t>Update Start Week / Duration to recalc End Week and view dependencies. Status uses a drop-down.</t>
  </si>
  <si>
    <t>Task ID</t>
  </si>
  <si>
    <t>Task / Activity</t>
  </si>
  <si>
    <t>Description / Notes</t>
  </si>
  <si>
    <t>Owner role</t>
  </si>
  <si>
    <t>Duration (days)</t>
  </si>
  <si>
    <t>Start week</t>
  </si>
  <si>
    <t>End week</t>
  </si>
  <si>
    <t>Dependencies</t>
  </si>
  <si>
    <t>Key deliverable</t>
  </si>
  <si>
    <t>Status</t>
  </si>
  <si>
    <t>1. Discovery &amp; Use-Case Definition</t>
  </si>
  <si>
    <t>1.1</t>
  </si>
  <si>
    <t>Sponsor &amp; stakeholder alignment</t>
  </si>
  <si>
    <t>Identify exec sponsor; align on ambition, scope, budget, success criteria.</t>
  </si>
  <si>
    <t>—</t>
  </si>
  <si>
    <t>Stakeholder map + ambition statement</t>
  </si>
  <si>
    <t>Not started</t>
  </si>
  <si>
    <t>1.2</t>
  </si>
  <si>
    <t>Use-case long-list &amp; prioritisation</t>
  </si>
  <si>
    <t>Workshop to generate candidate use cases; score on value, feasibility, risk, data readiness.</t>
  </si>
  <si>
    <t>Scored use-case backlog</t>
  </si>
  <si>
    <t>1.3</t>
  </si>
  <si>
    <t>Agent-vs-automation triage</t>
  </si>
  <si>
    <t>Decide whether selected use case truly needs agentic capability (planning, tool use, autonomy) or simpler automation.</t>
  </si>
  <si>
    <t>Agentic suitability memo</t>
  </si>
  <si>
    <t>1.4</t>
  </si>
  <si>
    <t>Value case &amp; target KPIs</t>
  </si>
  <si>
    <t>Quantify benefit (time saved, $ impact, quality lift), define leading &amp; lagging KPIs.</t>
  </si>
  <si>
    <t>Value case &amp; KPI tree</t>
  </si>
  <si>
    <t>1.5</t>
  </si>
  <si>
    <t>Use-case charter sign-off</t>
  </si>
  <si>
    <t>Compile charter (problem, users, scope, KPIs, risks, team) for sponsor approval.</t>
  </si>
  <si>
    <t>1.3,1.4</t>
  </si>
  <si>
    <t>Signed use-case charter</t>
  </si>
  <si>
    <t>2. Strategy, Architecture &amp; Design</t>
  </si>
  <si>
    <t>2.1</t>
  </si>
  <si>
    <t>Agent pattern selection</t>
  </si>
  <si>
    <t>Single agent vs orchestrator-with-sub-agents vs swarm; reasoning + planning loop design.</t>
  </si>
  <si>
    <t>Agent pattern decision record</t>
  </si>
  <si>
    <t>2.2</t>
  </si>
  <si>
    <t>LLM / model selection</t>
  </si>
  <si>
    <t>Evaluate candidate models on capability, latency, cost, hosting, data residency.</t>
  </si>
  <si>
    <t>Model selection matrix</t>
  </si>
  <si>
    <t>2.3</t>
  </si>
  <si>
    <t>Tools, MCP &amp; integrations map</t>
  </si>
  <si>
    <t>Catalogue tools the agent needs (APIs, MCP servers, RPA, search, RAG); identify build vs buy.</t>
  </si>
  <si>
    <t>Tool &amp; integration inventory</t>
  </si>
  <si>
    <t>2.4</t>
  </si>
  <si>
    <t>Memory, context &amp; RAG design</t>
  </si>
  <si>
    <t>Short-term context strategy, long-term memory store, RAG pipeline, chunking &amp; embedding model.</t>
  </si>
  <si>
    <t>2.2,2.3</t>
  </si>
  <si>
    <t>Memory &amp; retrieval design doc</t>
  </si>
  <si>
    <t>2.5</t>
  </si>
  <si>
    <t>Guardrails, safety &amp; HITL</t>
  </si>
  <si>
    <t>Policy guardrails, PII redaction, tool allow-lists, human-in-the-loop checkpoints, escalation paths.</t>
  </si>
  <si>
    <t>Security &amp; Risk</t>
  </si>
  <si>
    <t>Guardrail &amp; HITL policy</t>
  </si>
  <si>
    <t>2.6</t>
  </si>
  <si>
    <t>Target architecture &amp; tech stack</t>
  </si>
  <si>
    <t>End-to-end reference architecture (UI, orchestration, models, tools, data, observability, security).</t>
  </si>
  <si>
    <t>2.4,2.5</t>
  </si>
  <si>
    <t>Solution architecture doc</t>
  </si>
  <si>
    <t>2.7</t>
  </si>
  <si>
    <t>Architecture review board sign-off</t>
  </si>
  <si>
    <t>Present to ARB for approval before any build commits.</t>
  </si>
  <si>
    <t>ARB approval</t>
  </si>
  <si>
    <t>3. Data Readiness &amp; Infra Setup</t>
  </si>
  <si>
    <t>3.1</t>
  </si>
  <si>
    <t>Data inventory &amp; lineage</t>
  </si>
  <si>
    <t>List source systems, ownership, sensitivity, refresh cadence; capture lineage where missing.</t>
  </si>
  <si>
    <t>Data inventory &amp; lineage map</t>
  </si>
  <si>
    <t>3.2</t>
  </si>
  <si>
    <t>Data quality &amp; access remediation</t>
  </si>
  <si>
    <t>Profile data; fix gaps; secure access agreements (DPAs) with system owners.</t>
  </si>
  <si>
    <t>Data quality report + signed DPAs</t>
  </si>
  <si>
    <t>3.3</t>
  </si>
  <si>
    <t>Knowledge base &amp; vector store build</t>
  </si>
  <si>
    <t>Ingest docs, chunk, embed, index; tune retrieval; baseline retrieval quality.</t>
  </si>
  <si>
    <t>Production-grade KB</t>
  </si>
  <si>
    <t>3.4</t>
  </si>
  <si>
    <t>Environments (dev / test / prod)</t>
  </si>
  <si>
    <t>Provision cloud, networking, IAM, secrets, CI/CD; cost guardrails.</t>
  </si>
  <si>
    <t>Three working environments</t>
  </si>
  <si>
    <t>3.5</t>
  </si>
  <si>
    <t>Observability &amp; telemetry stack</t>
  </si>
  <si>
    <t>Tracing across agent loop, prompt/response logging, token &amp; cost metrics, eval pipelines hook.</t>
  </si>
  <si>
    <t>Observability dashboard</t>
  </si>
  <si>
    <t>3.6</t>
  </si>
  <si>
    <t>Data &amp; infra readiness gate</t>
  </si>
  <si>
    <t>Joint review by Architect + Security + MLOps; sign-off to start build.</t>
  </si>
  <si>
    <t>3.3,3.5</t>
  </si>
  <si>
    <t>Readiness sign-off</t>
  </si>
  <si>
    <t>4. Build &amp; Develop Agent</t>
  </si>
  <si>
    <t>4.1</t>
  </si>
  <si>
    <t>Prompt &amp; policy authoring</t>
  </si>
  <si>
    <t>System prompt, role/persona, planning prompts, refusal &amp; escalation policies.</t>
  </si>
  <si>
    <t>Versioned prompt library</t>
  </si>
  <si>
    <t>4.2</t>
  </si>
  <si>
    <t>Tool development &amp; MCP wiring</t>
  </si>
  <si>
    <t>Build / integrate each tool the agent needs; standardise schemas; error handling.</t>
  </si>
  <si>
    <t>Working tools / MCP servers</t>
  </si>
  <si>
    <t>4.3</t>
  </si>
  <si>
    <t>Orchestration &amp; sub-agents</t>
  </si>
  <si>
    <t>Implement planner, executor loop, sub-agent routing, retries, max-turns guard.</t>
  </si>
  <si>
    <t>4.1,4.2</t>
  </si>
  <si>
    <t>Agent orchestration layer</t>
  </si>
  <si>
    <t>4.4</t>
  </si>
  <si>
    <t>Front-end / channel integration</t>
  </si>
  <si>
    <t>Chat UI, Teams/Slack/email channel, or embedded experience.</t>
  </si>
  <si>
    <t>User-facing channel</t>
  </si>
  <si>
    <t>4.5</t>
  </si>
  <si>
    <t>Eval harness implementation</t>
  </si>
  <si>
    <t>Build eval datasets (happy path, edge, adversarial); wire to CI for every change.</t>
  </si>
  <si>
    <t>Automated eval harness</t>
  </si>
  <si>
    <t>4.6</t>
  </si>
  <si>
    <t>MVP demo &amp; code review</t>
  </si>
  <si>
    <t>Internal demo, code review, security review, decision to enter test phase.</t>
  </si>
  <si>
    <t>4.4,4.5</t>
  </si>
  <si>
    <t>Demo + review minutes</t>
  </si>
  <si>
    <t>5. Test, Eval &amp; Red-Team</t>
  </si>
  <si>
    <t>5.1</t>
  </si>
  <si>
    <t>Functional &amp; regression testing</t>
  </si>
  <si>
    <t>Run eval harness on full dataset; track quality, latency, cost per request.</t>
  </si>
  <si>
    <t>Eval scorecard v1</t>
  </si>
  <si>
    <t>5.2</t>
  </si>
  <si>
    <t>Safety &amp; adversarial red-team</t>
  </si>
  <si>
    <t>Prompt injection, jailbreak, data exfiltration, tool misuse, role-confusion scenarios.</t>
  </si>
  <si>
    <t>Red-team report</t>
  </si>
  <si>
    <t>5.3</t>
  </si>
  <si>
    <t>Bias, hallucination &amp; accuracy review</t>
  </si>
  <si>
    <t>Sample-based human review of agent outputs against ground truth.</t>
  </si>
  <si>
    <t>Human review log</t>
  </si>
  <si>
    <t>5.4</t>
  </si>
  <si>
    <t>Performance &amp; cost tuning</t>
  </si>
  <si>
    <t>Caching, prompt compression, model routing, parallelisation to hit SLAs.</t>
  </si>
  <si>
    <t>Tuned MVP</t>
  </si>
  <si>
    <t>5.5</t>
  </si>
  <si>
    <t>Quality &amp; safety gate</t>
  </si>
  <si>
    <t>Cross-functional review against acceptance thresholds; decide UAT entry.</t>
  </si>
  <si>
    <t>5.2,5.3,5.4</t>
  </si>
  <si>
    <t>Gate decision record</t>
  </si>
  <si>
    <t>6. Pilot / UAT</t>
  </si>
  <si>
    <t>6.1</t>
  </si>
  <si>
    <t>Pilot user cohort onboarding</t>
  </si>
  <si>
    <t>Select 10-30 pilot users; train; capture baseline KPIs.</t>
  </si>
  <si>
    <t>Pilot onboarding pack</t>
  </si>
  <si>
    <t>6.2</t>
  </si>
  <si>
    <t>Pilot run &amp; feedback loop</t>
  </si>
  <si>
    <t>Run pilot with daily triage of issues, weekly prompt/policy iteration.</t>
  </si>
  <si>
    <t>Pilot results dashboard</t>
  </si>
  <si>
    <t>6.3</t>
  </si>
  <si>
    <t>UAT scenarios &amp; sign-off</t>
  </si>
  <si>
    <t>Business-led structured UAT against acceptance criteria.</t>
  </si>
  <si>
    <t>UAT sign-off</t>
  </si>
  <si>
    <t>6.4</t>
  </si>
  <si>
    <t>Go / No-Go decision</t>
  </si>
  <si>
    <t>Steerco decision based on pilot KPIs, UAT, risks, costs.</t>
  </si>
  <si>
    <t>Sponsor</t>
  </si>
  <si>
    <t>Go / No-Go record</t>
  </si>
  <si>
    <t>7. Deployment &amp; Change Mgmt</t>
  </si>
  <si>
    <t>7.1</t>
  </si>
  <si>
    <t>Production cutover plan</t>
  </si>
  <si>
    <t>Cutover runbook, rollback plan, comms freeze, on-call roster.</t>
  </si>
  <si>
    <t>Cutover runbook</t>
  </si>
  <si>
    <t>7.2</t>
  </si>
  <si>
    <t>Training &amp; enablement</t>
  </si>
  <si>
    <t>Role-based training, quick-reference guides, super-user network.</t>
  </si>
  <si>
    <t>Change &amp; Adoption Lead</t>
  </si>
  <si>
    <t>Training collateral + sessions</t>
  </si>
  <si>
    <t>7.3</t>
  </si>
  <si>
    <t>Communications &amp; launch</t>
  </si>
  <si>
    <t>Launch comms, leadership endorsement, FAQ, support channel.</t>
  </si>
  <si>
    <t>Launch comms pack</t>
  </si>
  <si>
    <t>7.4</t>
  </si>
  <si>
    <t>Phased rollout, hypercare team stood up.</t>
  </si>
  <si>
    <t>7.1,7.3</t>
  </si>
  <si>
    <t>Live agent</t>
  </si>
  <si>
    <t>8. Monitor, Optimise &amp; Scale</t>
  </si>
  <si>
    <t>8.1</t>
  </si>
  <si>
    <t>Hypercare &amp; incident triage</t>
  </si>
  <si>
    <t>Daily monitoring, rapid fixes for first 2-4 weeks post go-live.</t>
  </si>
  <si>
    <t>Hypercare log</t>
  </si>
  <si>
    <t>8.2</t>
  </si>
  <si>
    <t>Continuous eval &amp; drift monitoring</t>
  </si>
  <si>
    <t>Automated eval on each release; track quality / cost / latency drift.</t>
  </si>
  <si>
    <t>Drift &amp; eval dashboard</t>
  </si>
  <si>
    <t>8.3</t>
  </si>
  <si>
    <t>Cost &amp; performance optimisation</t>
  </si>
  <si>
    <t>Model routing, caching, batching, prompt-cost reviews.</t>
  </si>
  <si>
    <t>Cost optimisation report</t>
  </si>
  <si>
    <t>8.4</t>
  </si>
  <si>
    <t>Benefits realisation tracking</t>
  </si>
  <si>
    <t>Measure realised KPIs vs business case; report monthly.</t>
  </si>
  <si>
    <t>Benefits tracker</t>
  </si>
  <si>
    <t>8.5</t>
  </si>
  <si>
    <t>Governance cadence</t>
  </si>
  <si>
    <t>Quarterly AI governance review (risk, compliance, model updates).</t>
  </si>
  <si>
    <t>Quarterly review pack</t>
  </si>
  <si>
    <t>8.6</t>
  </si>
  <si>
    <t>Scale to next use cases</t>
  </si>
  <si>
    <t>Re-use platform, prompts, tools to onboard the next use case from backlog.</t>
  </si>
  <si>
    <t>1.2,8.4</t>
  </si>
  <si>
    <t>Scale-up plan</t>
  </si>
  <si>
    <t>Milestones &amp; Stage Gates</t>
  </si>
  <si>
    <t>Each phase exits through a gate. No gate, no spend on the next phase.</t>
  </si>
  <si>
    <t>Gate #</t>
  </si>
  <si>
    <t>Milestone / Gate</t>
  </si>
  <si>
    <t>Target week</t>
  </si>
  <si>
    <t>Entry criteria</t>
  </si>
  <si>
    <t>Exit criteria</t>
  </si>
  <si>
    <t>Decision owner</t>
  </si>
  <si>
    <t>G1</t>
  </si>
  <si>
    <t>Stakeholders aligned; backlog scored</t>
  </si>
  <si>
    <t>Signed charter, KPIs, named team</t>
  </si>
  <si>
    <t>G2</t>
  </si>
  <si>
    <t>Architecture Review Board approval</t>
  </si>
  <si>
    <t>Pattern, model, tools, guardrails drafted</t>
  </si>
  <si>
    <t>Architecture approved; security cleared</t>
  </si>
  <si>
    <t>ARB chair</t>
  </si>
  <si>
    <t>G3</t>
  </si>
  <si>
    <t>Data &amp; infra readiness</t>
  </si>
  <si>
    <t>Data inventory + envs provisioned</t>
  </si>
  <si>
    <t>Data quality, KB, observability in place</t>
  </si>
  <si>
    <t>G4</t>
  </si>
  <si>
    <t>All Phase-4 tasks complete</t>
  </si>
  <si>
    <t>Demoable agent, code review passed</t>
  </si>
  <si>
    <t>G5</t>
  </si>
  <si>
    <t>Eval &amp; red-team complete</t>
  </si>
  <si>
    <t>Eval ≥ thresholds; no Sev-1 safety findings</t>
  </si>
  <si>
    <t>Security &amp; Risk + QA Lead</t>
  </si>
  <si>
    <t>G6</t>
  </si>
  <si>
    <t>Pilot KPIs reported; UAT done</t>
  </si>
  <si>
    <t>KPIs meet target; sponsor sign-off</t>
  </si>
  <si>
    <t>G7</t>
  </si>
  <si>
    <t>Cutover plan signed; training done</t>
  </si>
  <si>
    <t>Agent live; hypercare active</t>
  </si>
  <si>
    <t>G8</t>
  </si>
  <si>
    <t>Q+1</t>
  </si>
  <si>
    <t>90 days live</t>
  </si>
  <si>
    <t>No open Sev-1/2; benefits on-track</t>
  </si>
  <si>
    <t>AI Governance Committee</t>
  </si>
  <si>
    <t>RACI Matrix</t>
  </si>
  <si>
    <t>R = Responsible (does the work) • A = Accountable (single owner) • C = Consulted • I = Informed</t>
  </si>
  <si>
    <t>Activity</t>
  </si>
  <si>
    <t>UX / Designer</t>
  </si>
  <si>
    <t>Change &amp; Adoption</t>
  </si>
  <si>
    <t>Legal / Compliance</t>
  </si>
  <si>
    <t>A</t>
  </si>
  <si>
    <t>C</t>
  </si>
  <si>
    <t>R</t>
  </si>
  <si>
    <t>I</t>
  </si>
  <si>
    <t>Use-case prioritisation</t>
  </si>
  <si>
    <t>Agent suitability assessment</t>
  </si>
  <si>
    <t>Value case &amp; KPI definition</t>
  </si>
  <si>
    <t>Agent pattern &amp; architecture</t>
  </si>
  <si>
    <t>Tools, MCP &amp; integrations design</t>
  </si>
  <si>
    <t>Memory &amp; RAG design</t>
  </si>
  <si>
    <t>Data inventory &amp; access</t>
  </si>
  <si>
    <t>Knowledge base &amp; vector store</t>
  </si>
  <si>
    <t>Environments &amp; CI/CD</t>
  </si>
  <si>
    <t>Observability &amp; telemetry</t>
  </si>
  <si>
    <t>Agent orchestration build</t>
  </si>
  <si>
    <t>Eval harness &amp; test datasets</t>
  </si>
  <si>
    <t>Red-team &amp; safety testing</t>
  </si>
  <si>
    <t>Pilot run &amp; feedback</t>
  </si>
  <si>
    <t>UAT &amp; business sign-off</t>
  </si>
  <si>
    <t>Production cutover</t>
  </si>
  <si>
    <t>Execution Checklist — Phase-by-phase</t>
  </si>
  <si>
    <t>Tick items per phase before progressing. Designed as a working go/no-go list.</t>
  </si>
  <si>
    <t>% Complete:</t>
  </si>
  <si>
    <t>Checklist item</t>
  </si>
  <si>
    <t>Done? (Y/N)</t>
  </si>
  <si>
    <t>1. Discovery</t>
  </si>
  <si>
    <t>Executive sponsor named &amp; engaged</t>
  </si>
  <si>
    <t>N</t>
  </si>
  <si>
    <t>Use cases scored on value × feasibility × risk × data readiness</t>
  </si>
  <si>
    <t>Agent vs. simple-automation triage completed</t>
  </si>
  <si>
    <t>Quantified business case with leading + lagging KPIs</t>
  </si>
  <si>
    <t>Use-case charter signed off (Gate G1)</t>
  </si>
  <si>
    <t>2. Design</t>
  </si>
  <si>
    <t>Agent pattern chosen (single / orchestrator / multi-agent) with rationale</t>
  </si>
  <si>
    <t>Model selection matrix completed (capability, cost, latency, hosting, residency)</t>
  </si>
  <si>
    <t>Tool &amp; MCP inventory (with build/buy decision per tool)</t>
  </si>
  <si>
    <t>Memory + RAG approach documented</t>
  </si>
  <si>
    <t>Guardrails, PII handling, tool allow-lists, HITL points defined</t>
  </si>
  <si>
    <t>Reference architecture approved by ARB (Gate G2)</t>
  </si>
  <si>
    <t>3. Data &amp; Infra</t>
  </si>
  <si>
    <t>Data inventory + lineage captured for all sources</t>
  </si>
  <si>
    <t>Data sharing / DPA agreements signed</t>
  </si>
  <si>
    <t>KB &amp; vector store built and retrieval-quality baselined</t>
  </si>
  <si>
    <t>Dev / Test / Prod environments with IAM and cost guardrails</t>
  </si>
  <si>
    <t>Observability: trace, prompt log, token / cost dashboards live</t>
  </si>
  <si>
    <t>Readiness gate passed (Gate G3)</t>
  </si>
  <si>
    <t>4. Build</t>
  </si>
  <si>
    <t>Prompt library versioned in source control</t>
  </si>
  <si>
    <t>All required tools / MCP servers wired with schemas &amp; error handling</t>
  </si>
  <si>
    <t>Orchestration loop with max-turn guard, retries, and HITL hooks</t>
  </si>
  <si>
    <t>Front-end / channel integrated; auth + entitlements working</t>
  </si>
  <si>
    <t>Automated eval harness wired to CI</t>
  </si>
  <si>
    <t>MVP demo + code review complete (Gate G4)</t>
  </si>
  <si>
    <t>5. Test &amp; Eval</t>
  </si>
  <si>
    <t>Functional eval ≥ target accuracy / quality threshold</t>
  </si>
  <si>
    <t>Red-team: prompt injection, jailbreak, data exfil, tool misuse scenarios</t>
  </si>
  <si>
    <t>Human review on stratified sample (≥ 100 outputs)</t>
  </si>
  <si>
    <t>Latency and per-request cost within SLA</t>
  </si>
  <si>
    <t>Quality &amp; safety gate passed (Gate G5)</t>
  </si>
  <si>
    <t>Pilot cohort selected, trained, baseline KPIs captured</t>
  </si>
  <si>
    <t>Daily issue triage + weekly prompt/policy iteration cadence running</t>
  </si>
  <si>
    <t>UAT scenarios executed &amp; signed off</t>
  </si>
  <si>
    <t>Go / No-Go decision recorded (Gate G6)</t>
  </si>
  <si>
    <t>7. Deploy &amp; Change</t>
  </si>
  <si>
    <t>Cutover runbook + rollback plan reviewed</t>
  </si>
  <si>
    <t>Role-based training delivered to all user groups</t>
  </si>
  <si>
    <t>Launch comms, FAQ and support channel live</t>
  </si>
  <si>
    <t>Production go-live + hypercare team active (Gate G7)</t>
  </si>
  <si>
    <t>8. Monitor &amp; Scale</t>
  </si>
  <si>
    <t>Hypercare incidents triaged; no open Sev-1</t>
  </si>
  <si>
    <t>Continuous eval running on every release; drift watched</t>
  </si>
  <si>
    <t>Cost / performance optimisation review done</t>
  </si>
  <si>
    <t>Benefits realisation tracker updated monthly</t>
  </si>
  <si>
    <t>Quarterly AI governance review held (Gate G8)</t>
  </si>
  <si>
    <t>Next use case scoped using the same platform</t>
  </si>
  <si>
    <t>Risk Register</t>
  </si>
  <si>
    <t>Probability (1-5) × Impact (1-5) = Score. Score auto-calculated; colour-coded heat.</t>
  </si>
  <si>
    <t>ID</t>
  </si>
  <si>
    <t>Risk</t>
  </si>
  <si>
    <t>Category</t>
  </si>
  <si>
    <t>Probability (1-5)</t>
  </si>
  <si>
    <t>Impact (1-5)</t>
  </si>
  <si>
    <t>Score</t>
  </si>
  <si>
    <t>Mitigation</t>
  </si>
  <si>
    <t>Owner</t>
  </si>
  <si>
    <t>R01</t>
  </si>
  <si>
    <t>Hallucinated outputs reach end users</t>
  </si>
  <si>
    <t>Quality / Safety</t>
  </si>
  <si>
    <t>Strict eval gates, RAG with citations, HITL on high-stakes actions, confidence thresholds</t>
  </si>
  <si>
    <t>Open</t>
  </si>
  <si>
    <t>R02</t>
  </si>
  <si>
    <t>Prompt injection or tool misuse via untrusted content</t>
  </si>
  <si>
    <t>Security</t>
  </si>
  <si>
    <t>Input sanitisation, tool allow-lists, sandboxed execution, red-team in every release</t>
  </si>
  <si>
    <t>R03</t>
  </si>
  <si>
    <t>PII / sensitive data leakage through prompts or logs</t>
  </si>
  <si>
    <t>Privacy</t>
  </si>
  <si>
    <t>Pre-prompt redaction, log scrubbing, minimum necessary data, DLP rules</t>
  </si>
  <si>
    <t>R04</t>
  </si>
  <si>
    <t>Runaway token / API costs from agent loops</t>
  </si>
  <si>
    <t>Cost / Operations</t>
  </si>
  <si>
    <t>Max-turn guards, budget alerts, model routing, cache, regular cost reviews</t>
  </si>
  <si>
    <t>R05</t>
  </si>
  <si>
    <t>Latency exceeds SLA; user adoption drops</t>
  </si>
  <si>
    <t>Performance</t>
  </si>
  <si>
    <t>Parallel tool calls, response streaming, smaller models for triage, async patterns</t>
  </si>
  <si>
    <t>R06</t>
  </si>
  <si>
    <t>Knowledge base quality / staleness degrades answers</t>
  </si>
  <si>
    <t>Data</t>
  </si>
  <si>
    <t>Owners per source, refresh SLAs, retrieval-quality monitoring, content QA</t>
  </si>
  <si>
    <t>R07</t>
  </si>
  <si>
    <t>Regulatory / compliance violation (EU AI Act, sector rules)</t>
  </si>
  <si>
    <t>Compliance</t>
  </si>
  <si>
    <t>Risk-tier classification, documentation, model cards, audit logs, legal review at G2 &amp; G6</t>
  </si>
  <si>
    <t>R08</t>
  </si>
  <si>
    <t>Low business adoption post go-live</t>
  </si>
  <si>
    <t>Change</t>
  </si>
  <si>
    <t>Role-based training, super-user network, embed in existing workflow, exec endorsement</t>
  </si>
  <si>
    <t>R09</t>
  </si>
  <si>
    <t>Model deprecation / vendor change disrupts service</t>
  </si>
  <si>
    <t>Vendor</t>
  </si>
  <si>
    <t>Abstraction layer, model-agnostic prompts, dual-model contingency, vendor SLAs</t>
  </si>
  <si>
    <t>R10</t>
  </si>
  <si>
    <t>Drift in eval scores after prompts / data changes</t>
  </si>
  <si>
    <t>Quality</t>
  </si>
  <si>
    <t>Automated eval on every PR, canary releases, rollback procedure, alerting on drift</t>
  </si>
  <si>
    <t>R11</t>
  </si>
  <si>
    <t>Unclear accountability when agent action causes harm</t>
  </si>
  <si>
    <t>Governance</t>
  </si>
  <si>
    <t>Documented HITL boundaries, decision rights, audit trail, escalation path</t>
  </si>
  <si>
    <t>R12</t>
  </si>
  <si>
    <t>Scope creep &amp; shifting use case during build</t>
  </si>
  <si>
    <t>Delivery</t>
  </si>
  <si>
    <t>Locked charter at G1, formal change control, prioritise backlog ruthlessly</t>
  </si>
  <si>
    <t>Weekly Status Report — Template</t>
  </si>
  <si>
    <t>Duplicate the sheet (or copy the block) weekly. Fill RAG via the dropdown.</t>
  </si>
  <si>
    <t>Reporting period</t>
  </si>
  <si>
    <t>Reported by</t>
  </si>
  <si>
    <t>Overall status</t>
  </si>
  <si>
    <t>Green</t>
  </si>
  <si>
    <t>Schedule status</t>
  </si>
  <si>
    <t>Cost status</t>
  </si>
  <si>
    <t>Quality / safety status</t>
  </si>
  <si>
    <t>Risk status</t>
  </si>
  <si>
    <t>Amber</t>
  </si>
  <si>
    <t>Scope status</t>
  </si>
  <si>
    <t>1. Headlines (what the steerco must know in 60 seconds)</t>
  </si>
  <si>
    <t>Headline</t>
  </si>
  <si>
    <t>So-what</t>
  </si>
  <si>
    <t>e.g. Pilot week 2: agent resolved 68% of tier-1 tickets unaided</t>
  </si>
  <si>
    <t>On track to hit 70% target before G6</t>
  </si>
  <si>
    <t>2. Progress this week</t>
  </si>
  <si>
    <t>Workstream</t>
  </si>
  <si>
    <t>What we did</t>
  </si>
  <si>
    <t>% complete</t>
  </si>
  <si>
    <t>On schedule?</t>
  </si>
  <si>
    <t>Build</t>
  </si>
  <si>
    <t>Tools 3 &amp; 4 wired; orchestration loop refactored</t>
  </si>
  <si>
    <t>60%</t>
  </si>
  <si>
    <t>Yes</t>
  </si>
  <si>
    <t>3. Plans for next week</t>
  </si>
  <si>
    <t>What we will do</t>
  </si>
  <si>
    <t>Due</t>
  </si>
  <si>
    <t>Eval</t>
  </si>
  <si>
    <t>Run full eval harness on v0.4</t>
  </si>
  <si>
    <t>QA Lead</t>
  </si>
  <si>
    <t>Fri</t>
  </si>
  <si>
    <t>4. Issues, blockers &amp; decisions needed</t>
  </si>
  <si>
    <t>Issue / decision</t>
  </si>
  <si>
    <t>Needed by</t>
  </si>
  <si>
    <t>Notes</t>
  </si>
  <si>
    <t>Confirm production VPC peering with security</t>
  </si>
  <si>
    <t>MLOps</t>
  </si>
  <si>
    <t>EOW</t>
  </si>
  <si>
    <t>5. Top risks (top 3 by score from Risk Register)</t>
  </si>
  <si>
    <t>Mitigation status</t>
  </si>
  <si>
    <t>Prompt injection / tool misuse</t>
  </si>
  <si>
    <t>Red-team week 17</t>
  </si>
  <si>
    <t>6. KPIs (from value case)</t>
  </si>
  <si>
    <t>KPI</t>
  </si>
  <si>
    <t>Target</t>
  </si>
  <si>
    <t>Latest</t>
  </si>
  <si>
    <t>Trend</t>
  </si>
  <si>
    <t>Comment</t>
  </si>
  <si>
    <t>First-pass resolution rate</t>
  </si>
  <si>
    <t>≥ 70%</t>
  </si>
  <si>
    <t>62%</t>
  </si>
  <si>
    <t>↑</t>
  </si>
  <si>
    <t>Tracking; eval improving</t>
  </si>
  <si>
    <t>Cost per request</t>
  </si>
  <si>
    <t>≤ $0.05</t>
  </si>
  <si>
    <t>$0.07</t>
  </si>
  <si>
    <t>→</t>
  </si>
  <si>
    <t>Cache tuning in flight</t>
  </si>
  <si>
    <t>Avg latency (p95)</t>
  </si>
  <si>
    <t>≤ 6s</t>
  </si>
  <si>
    <t>7.2s</t>
  </si>
  <si>
    <t>↓</t>
  </si>
  <si>
    <t>Parallel tool calls landing wk 17</t>
  </si>
  <si>
    <t>Decision Log — Template</t>
  </si>
  <si>
    <t>Capture every directional decision. Decisions reduce future debate and create an audit trail.</t>
  </si>
  <si>
    <t>Decision ID</t>
  </si>
  <si>
    <t>Date</t>
  </si>
  <si>
    <t>Decision</t>
  </si>
  <si>
    <t>Rationale &amp; alternatives considered</t>
  </si>
  <si>
    <t>Decision-maker</t>
  </si>
  <si>
    <t>Impacted areas</t>
  </si>
  <si>
    <t>D001</t>
  </si>
  <si>
    <t>yyyy-mm-dd</t>
  </si>
  <si>
    <t>Adopt orchestrator-with-sub-agents pattern over single agent</t>
  </si>
  <si>
    <t>Use case requires parallel research + drafting; single agent context-window risk</t>
  </si>
  <si>
    <t>Architecture, Build</t>
  </si>
  <si>
    <t>Approved</t>
  </si>
  <si>
    <t>D002</t>
  </si>
  <si>
    <t>Primary model: Claude Sonnet; fallback: smaller routing model</t>
  </si>
  <si>
    <t>Quality, tool use, cost balance; abstraction layer enables future switch</t>
  </si>
  <si>
    <t>Build, Cost</t>
  </si>
  <si>
    <t>D003</t>
  </si>
  <si>
    <t>Quality gate threshold = 85% on golden eval set + 0 Sev-1 safety findings</t>
  </si>
  <si>
    <t>Aligned to user-perceivable quality bar; conservative for first release</t>
  </si>
  <si>
    <t>Test,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</si>
</sst>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9"/>
      <color rgb="FF475569"/>
      <name val="Calibri"/>
      <charset val="1"/>
    </font>
    <font>
      <b/>
      <sz val="10"/>
      <color rgb="FF0F172A"/>
      <name val="Calibri"/>
      <charset val="1"/>
    </font>
    <font>
      <sz val="10"/>
      <color rgb="FF0F172A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2"/>
      <color rgb="FF0E749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0B1437"/>
        <bgColor rgb="FF0F172A"/>
      </patternFill>
    </fill>
    <fill>
      <patternFill patternType="solid">
        <fgColor rgb="FFF1F5F9"/>
        <bgColor rgb="FFF8FAFC"/>
      </patternFill>
    </fill>
    <fill>
      <patternFill patternType="solid">
        <fgColor rgb="FF1E293B"/>
        <bgColor rgb="FF0F172A"/>
      </patternFill>
    </fill>
    <fill>
      <patternFill patternType="solid">
        <fgColor rgb="FF0E7490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CFFAFE"/>
        <bgColor rgb="FFD1FAE5"/>
      </patternFill>
    </fill>
    <fill>
      <patternFill patternType="solid">
        <fgColor rgb="FFD1FAE5"/>
        <bgColor rgb="FFDCFCE7"/>
      </patternFill>
    </fill>
    <fill>
      <patternFill patternType="solid">
        <fgColor rgb="FFFEF3C7"/>
        <bgColor rgb="FFFFE4E6"/>
      </patternFill>
    </fill>
    <fill>
      <patternFill patternType="solid">
        <fgColor rgb="FFFFE4E6"/>
        <bgColor rgb="FFFEE2E2"/>
      </patternFill>
    </fill>
    <fill>
      <patternFill patternType="solid">
        <fgColor rgb="FFF3E8FF"/>
        <bgColor rgb="FFF1F5F9"/>
      </patternFill>
    </fill>
    <fill>
      <patternFill patternType="solid">
        <fgColor rgb="FFE2E8F0"/>
        <bgColor rgb="FFE0E7FF"/>
      </patternFill>
    </fill>
    <fill>
      <patternFill patternType="solid">
        <fgColor rgb="FFFCA5A5"/>
        <bgColor rgb="FFFF8080"/>
      </patternFill>
    </fill>
    <fill>
      <patternFill patternType="solid">
        <fgColor rgb="FFFDE68A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4" borderId="0" xfId="0" applyFont="1" applyFill="1" applyAlignment="1">
      <alignment horizontal="left" vertical="center"/>
    </xf>
    <xf numFmtId="0" fontId="5" fillId="4" borderId="0" xfId="0" applyFont="1" applyFill="1"/>
    <xf numFmtId="0" fontId="4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11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1F5F9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1F5F9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808080"/>
      <rgbColor rgb="FFF3E8FF"/>
      <rgbColor rgb="FF993366"/>
      <rgbColor rgb="FFFEF3C7"/>
      <rgbColor rgb="FFCFFAFE"/>
      <rgbColor rgb="FF660066"/>
      <rgbColor rgb="FFFF8080"/>
      <rgbColor rgb="FF0066CC"/>
      <rgbColor rgb="FFCBD5E1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CFCE7"/>
      <rgbColor rgb="FFD1FAE5"/>
      <rgbColor rgb="FFFDE68A"/>
      <rgbColor rgb="FFDBEAFE"/>
      <rgbColor rgb="FFFCA5A5"/>
      <rgbColor rgb="FFE0E7FF"/>
      <rgbColor rgb="FFFEE2E2"/>
      <rgbColor rgb="FF3366FF"/>
      <rgbColor rgb="FF33CCCC"/>
      <rgbColor rgb="FF99CC00"/>
      <rgbColor rgb="FFFFE4E6"/>
      <rgbColor rgb="FFFF9900"/>
      <rgbColor rgb="FFFF6600"/>
      <rgbColor rgb="FF475569"/>
      <rgbColor rgb="FF969696"/>
      <rgbColor rgb="FF0B1437"/>
      <rgbColor rgb="FF339966"/>
      <rgbColor rgb="FF0F172A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zoomScaleNormal="100" workbookViewId="0">
      <selection sqref="A1:F1"/>
    </sheetView>
  </sheetViews>
  <sheetFormatPr defaultColWidth="8.6328125" defaultRowHeight="14.5" x14ac:dyDescent="0.35"/>
  <cols>
    <col min="1" max="1" width="14" customWidth="1"/>
    <col min="2" max="2" width="34" customWidth="1"/>
    <col min="3" max="3" width="38" customWidth="1"/>
    <col min="4" max="4" width="14" customWidth="1"/>
    <col min="5" max="5" width="22" customWidth="1"/>
    <col min="6" max="6" width="32" customWidth="1"/>
  </cols>
  <sheetData>
    <row r="1" spans="1:6" ht="36" customHeight="1" x14ac:dyDescent="0.35">
      <c r="A1" s="5" t="s">
        <v>0</v>
      </c>
      <c r="B1" s="5"/>
      <c r="C1" s="5"/>
      <c r="D1" s="5"/>
      <c r="E1" s="5"/>
      <c r="F1" s="5"/>
    </row>
    <row r="2" spans="1:6" ht="21.75" customHeight="1" x14ac:dyDescent="0.35">
      <c r="A2" s="4" t="s">
        <v>1</v>
      </c>
      <c r="B2" s="4"/>
      <c r="C2" s="4"/>
      <c r="D2" s="4"/>
      <c r="E2" s="4"/>
      <c r="F2" s="4"/>
    </row>
    <row r="4" spans="1:6" ht="48" customHeight="1" x14ac:dyDescent="0.35">
      <c r="A4" s="6" t="s">
        <v>2</v>
      </c>
      <c r="B4" s="3" t="s">
        <v>3</v>
      </c>
      <c r="C4" s="3"/>
      <c r="D4" s="3"/>
      <c r="E4" s="3"/>
      <c r="F4" s="3"/>
    </row>
    <row r="5" spans="1:6" ht="48" customHeight="1" x14ac:dyDescent="0.35">
      <c r="A5" s="6" t="s">
        <v>4</v>
      </c>
      <c r="B5" s="3" t="s">
        <v>5</v>
      </c>
      <c r="C5" s="3"/>
      <c r="D5" s="3"/>
      <c r="E5" s="3"/>
      <c r="F5" s="3"/>
    </row>
    <row r="6" spans="1:6" ht="48" customHeight="1" x14ac:dyDescent="0.35">
      <c r="A6" s="6" t="s">
        <v>6</v>
      </c>
      <c r="B6" s="3" t="s">
        <v>7</v>
      </c>
      <c r="C6" s="3"/>
      <c r="D6" s="3"/>
      <c r="E6" s="3"/>
      <c r="F6" s="3"/>
    </row>
    <row r="7" spans="1:6" ht="48" customHeight="1" x14ac:dyDescent="0.35">
      <c r="A7" s="6" t="s">
        <v>8</v>
      </c>
      <c r="B7" s="3" t="s">
        <v>9</v>
      </c>
      <c r="C7" s="3"/>
      <c r="D7" s="3"/>
      <c r="E7" s="3"/>
      <c r="F7" s="3"/>
    </row>
    <row r="8" spans="1:6" ht="48" customHeight="1" x14ac:dyDescent="0.35">
      <c r="A8" s="6" t="s">
        <v>10</v>
      </c>
      <c r="B8" s="3" t="s">
        <v>11</v>
      </c>
      <c r="C8" s="3"/>
      <c r="D8" s="3"/>
      <c r="E8" s="3"/>
      <c r="F8" s="3"/>
    </row>
    <row r="10" spans="1:6" ht="25.5" customHeight="1" x14ac:dyDescent="0.45">
      <c r="A10" s="2" t="s">
        <v>12</v>
      </c>
      <c r="B10" s="2"/>
      <c r="C10" s="2"/>
      <c r="D10" s="2"/>
      <c r="E10" s="2"/>
      <c r="F10" s="2"/>
    </row>
    <row r="11" spans="1:6" ht="27.75" customHeight="1" x14ac:dyDescent="0.3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ht="31.5" customHeight="1" x14ac:dyDescent="0.35">
      <c r="A12" s="8">
        <v>1</v>
      </c>
      <c r="B12" s="8" t="s">
        <v>19</v>
      </c>
      <c r="C12" s="8" t="s">
        <v>20</v>
      </c>
      <c r="D12" s="8">
        <v>3</v>
      </c>
      <c r="E12" s="8" t="s">
        <v>21</v>
      </c>
      <c r="F12" s="8" t="s">
        <v>22</v>
      </c>
    </row>
    <row r="13" spans="1:6" ht="31.5" customHeight="1" x14ac:dyDescent="0.35">
      <c r="A13" s="9">
        <v>2</v>
      </c>
      <c r="B13" s="9" t="s">
        <v>23</v>
      </c>
      <c r="C13" s="9" t="s">
        <v>24</v>
      </c>
      <c r="D13" s="9">
        <v>3</v>
      </c>
      <c r="E13" s="9" t="s">
        <v>25</v>
      </c>
      <c r="F13" s="9" t="s">
        <v>26</v>
      </c>
    </row>
    <row r="14" spans="1:6" ht="31.5" customHeight="1" x14ac:dyDescent="0.35">
      <c r="A14" s="8">
        <v>3</v>
      </c>
      <c r="B14" s="8" t="s">
        <v>27</v>
      </c>
      <c r="C14" s="8" t="s">
        <v>28</v>
      </c>
      <c r="D14" s="8">
        <v>4</v>
      </c>
      <c r="E14" s="8" t="s">
        <v>29</v>
      </c>
      <c r="F14" s="8" t="s">
        <v>30</v>
      </c>
    </row>
    <row r="15" spans="1:6" ht="31.5" customHeight="1" x14ac:dyDescent="0.35">
      <c r="A15" s="9">
        <v>4</v>
      </c>
      <c r="B15" s="9" t="s">
        <v>31</v>
      </c>
      <c r="C15" s="9" t="s">
        <v>32</v>
      </c>
      <c r="D15" s="9">
        <v>5</v>
      </c>
      <c r="E15" s="9" t="s">
        <v>33</v>
      </c>
      <c r="F15" s="9" t="s">
        <v>34</v>
      </c>
    </row>
    <row r="16" spans="1:6" ht="31.5" customHeight="1" x14ac:dyDescent="0.35">
      <c r="A16" s="8">
        <v>5</v>
      </c>
      <c r="B16" s="8" t="s">
        <v>35</v>
      </c>
      <c r="C16" s="8" t="s">
        <v>36</v>
      </c>
      <c r="D16" s="8">
        <v>3</v>
      </c>
      <c r="E16" s="8" t="s">
        <v>37</v>
      </c>
      <c r="F16" s="8" t="s">
        <v>38</v>
      </c>
    </row>
    <row r="17" spans="1:6" ht="31.5" customHeight="1" x14ac:dyDescent="0.35">
      <c r="A17" s="9">
        <v>6</v>
      </c>
      <c r="B17" s="9" t="s">
        <v>39</v>
      </c>
      <c r="C17" s="9" t="s">
        <v>40</v>
      </c>
      <c r="D17" s="9">
        <v>3</v>
      </c>
      <c r="E17" s="9" t="s">
        <v>41</v>
      </c>
      <c r="F17" s="9" t="s">
        <v>42</v>
      </c>
    </row>
    <row r="18" spans="1:6" ht="31.5" customHeight="1" x14ac:dyDescent="0.35">
      <c r="A18" s="8">
        <v>7</v>
      </c>
      <c r="B18" s="8" t="s">
        <v>43</v>
      </c>
      <c r="C18" s="8" t="s">
        <v>44</v>
      </c>
      <c r="D18" s="8">
        <v>2</v>
      </c>
      <c r="E18" s="8" t="s">
        <v>45</v>
      </c>
      <c r="F18" s="8" t="s">
        <v>46</v>
      </c>
    </row>
    <row r="19" spans="1:6" ht="31.5" customHeight="1" x14ac:dyDescent="0.35">
      <c r="A19" s="9">
        <v>8</v>
      </c>
      <c r="B19" s="9" t="s">
        <v>47</v>
      </c>
      <c r="C19" s="9" t="s">
        <v>48</v>
      </c>
      <c r="D19" s="9" t="s">
        <v>49</v>
      </c>
      <c r="E19" s="9" t="s">
        <v>50</v>
      </c>
      <c r="F19" s="9" t="s">
        <v>51</v>
      </c>
    </row>
  </sheetData>
  <mergeCells count="8">
    <mergeCell ref="B7:F7"/>
    <mergeCell ref="B8:F8"/>
    <mergeCell ref="A10:F10"/>
    <mergeCell ref="A1:F1"/>
    <mergeCell ref="A2:F2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30" customWidth="1"/>
    <col min="2" max="2" width="9" customWidth="1"/>
    <col min="3" max="3" width="32" customWidth="1"/>
    <col min="4" max="4" width="50" customWidth="1"/>
    <col min="5" max="5" width="22" customWidth="1"/>
    <col min="6" max="8" width="11" customWidth="1"/>
    <col min="9" max="9" width="18" customWidth="1"/>
    <col min="10" max="10" width="36" customWidth="1"/>
    <col min="11" max="11" width="14" customWidth="1"/>
  </cols>
  <sheetData>
    <row r="1" spans="1:11" ht="36" customHeight="1" x14ac:dyDescent="0.35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</row>
    <row r="2" spans="1:11" ht="21.75" customHeight="1" x14ac:dyDescent="0.35">
      <c r="A2" s="4" t="s">
        <v>53</v>
      </c>
      <c r="B2" s="4"/>
      <c r="C2" s="4"/>
      <c r="D2" s="4"/>
      <c r="E2" s="4"/>
      <c r="F2" s="4"/>
      <c r="G2" s="4"/>
      <c r="H2" s="4"/>
      <c r="I2" s="4"/>
      <c r="J2" s="4"/>
    </row>
    <row r="4" spans="1:11" ht="27.75" customHeight="1" x14ac:dyDescent="0.35">
      <c r="A4" s="10" t="s">
        <v>14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  <c r="K4" s="10" t="s">
        <v>63</v>
      </c>
    </row>
    <row r="5" spans="1:11" ht="31.5" customHeight="1" x14ac:dyDescent="0.35">
      <c r="A5" s="11" t="s">
        <v>64</v>
      </c>
      <c r="B5" s="9" t="s">
        <v>65</v>
      </c>
      <c r="C5" s="12" t="s">
        <v>66</v>
      </c>
      <c r="D5" s="9" t="s">
        <v>67</v>
      </c>
      <c r="E5" s="9" t="s">
        <v>45</v>
      </c>
      <c r="F5" s="9">
        <v>5</v>
      </c>
      <c r="G5" s="9">
        <v>1</v>
      </c>
      <c r="H5" s="9">
        <f t="shared" ref="H5:H47" si="0">G5+CEILING(F5/5,1)-1</f>
        <v>1</v>
      </c>
      <c r="I5" s="9" t="s">
        <v>68</v>
      </c>
      <c r="J5" s="9" t="s">
        <v>69</v>
      </c>
      <c r="K5" s="13" t="s">
        <v>70</v>
      </c>
    </row>
    <row r="6" spans="1:11" ht="31.5" customHeight="1" x14ac:dyDescent="0.35">
      <c r="A6" s="11" t="s">
        <v>64</v>
      </c>
      <c r="B6" s="8" t="s">
        <v>71</v>
      </c>
      <c r="C6" s="14" t="s">
        <v>72</v>
      </c>
      <c r="D6" s="8" t="s">
        <v>73</v>
      </c>
      <c r="E6" s="8" t="s">
        <v>21</v>
      </c>
      <c r="F6" s="8">
        <v>7</v>
      </c>
      <c r="G6" s="8">
        <v>1</v>
      </c>
      <c r="H6" s="8">
        <f t="shared" si="0"/>
        <v>2</v>
      </c>
      <c r="I6" s="8" t="s">
        <v>65</v>
      </c>
      <c r="J6" s="8" t="s">
        <v>74</v>
      </c>
      <c r="K6" s="13" t="s">
        <v>70</v>
      </c>
    </row>
    <row r="7" spans="1:11" ht="31.5" customHeight="1" x14ac:dyDescent="0.35">
      <c r="A7" s="11" t="s">
        <v>64</v>
      </c>
      <c r="B7" s="9" t="s">
        <v>75</v>
      </c>
      <c r="C7" s="12" t="s">
        <v>76</v>
      </c>
      <c r="D7" s="9" t="s">
        <v>77</v>
      </c>
      <c r="E7" s="9" t="s">
        <v>25</v>
      </c>
      <c r="F7" s="9">
        <v>3</v>
      </c>
      <c r="G7" s="9">
        <v>2</v>
      </c>
      <c r="H7" s="9">
        <f t="shared" si="0"/>
        <v>2</v>
      </c>
      <c r="I7" s="9" t="s">
        <v>71</v>
      </c>
      <c r="J7" s="9" t="s">
        <v>78</v>
      </c>
      <c r="K7" s="13" t="s">
        <v>70</v>
      </c>
    </row>
    <row r="8" spans="1:11" ht="31.5" customHeight="1" x14ac:dyDescent="0.35">
      <c r="A8" s="11" t="s">
        <v>64</v>
      </c>
      <c r="B8" s="8" t="s">
        <v>79</v>
      </c>
      <c r="C8" s="14" t="s">
        <v>80</v>
      </c>
      <c r="D8" s="8" t="s">
        <v>81</v>
      </c>
      <c r="E8" s="8" t="s">
        <v>21</v>
      </c>
      <c r="F8" s="8">
        <v>5</v>
      </c>
      <c r="G8" s="8">
        <v>2</v>
      </c>
      <c r="H8" s="8">
        <f t="shared" si="0"/>
        <v>2</v>
      </c>
      <c r="I8" s="8" t="s">
        <v>71</v>
      </c>
      <c r="J8" s="8" t="s">
        <v>82</v>
      </c>
      <c r="K8" s="13" t="s">
        <v>70</v>
      </c>
    </row>
    <row r="9" spans="1:11" ht="31.5" customHeight="1" x14ac:dyDescent="0.35">
      <c r="A9" s="11" t="s">
        <v>64</v>
      </c>
      <c r="B9" s="9" t="s">
        <v>83</v>
      </c>
      <c r="C9" s="12" t="s">
        <v>84</v>
      </c>
      <c r="D9" s="9" t="s">
        <v>85</v>
      </c>
      <c r="E9" s="9" t="s">
        <v>45</v>
      </c>
      <c r="F9" s="9">
        <v>3</v>
      </c>
      <c r="G9" s="9">
        <v>3</v>
      </c>
      <c r="H9" s="9">
        <f t="shared" si="0"/>
        <v>3</v>
      </c>
      <c r="I9" s="9" t="s">
        <v>86</v>
      </c>
      <c r="J9" s="9" t="s">
        <v>87</v>
      </c>
      <c r="K9" s="13" t="s">
        <v>70</v>
      </c>
    </row>
    <row r="10" spans="1:11" ht="31.5" customHeight="1" x14ac:dyDescent="0.35">
      <c r="A10" s="15" t="s">
        <v>88</v>
      </c>
      <c r="B10" s="8" t="s">
        <v>89</v>
      </c>
      <c r="C10" s="14" t="s">
        <v>90</v>
      </c>
      <c r="D10" s="8" t="s">
        <v>91</v>
      </c>
      <c r="E10" s="8" t="s">
        <v>25</v>
      </c>
      <c r="F10" s="8">
        <v>4</v>
      </c>
      <c r="G10" s="8">
        <v>4</v>
      </c>
      <c r="H10" s="8">
        <f t="shared" si="0"/>
        <v>4</v>
      </c>
      <c r="I10" s="8" t="s">
        <v>83</v>
      </c>
      <c r="J10" s="8" t="s">
        <v>92</v>
      </c>
      <c r="K10" s="13" t="s">
        <v>70</v>
      </c>
    </row>
    <row r="11" spans="1:11" ht="31.5" customHeight="1" x14ac:dyDescent="0.35">
      <c r="A11" s="15" t="s">
        <v>88</v>
      </c>
      <c r="B11" s="9" t="s">
        <v>93</v>
      </c>
      <c r="C11" s="12" t="s">
        <v>94</v>
      </c>
      <c r="D11" s="9" t="s">
        <v>95</v>
      </c>
      <c r="E11" s="9" t="s">
        <v>33</v>
      </c>
      <c r="F11" s="9">
        <v>4</v>
      </c>
      <c r="G11" s="9">
        <v>4</v>
      </c>
      <c r="H11" s="9">
        <f t="shared" si="0"/>
        <v>4</v>
      </c>
      <c r="I11" s="9" t="s">
        <v>89</v>
      </c>
      <c r="J11" s="9" t="s">
        <v>96</v>
      </c>
      <c r="K11" s="13" t="s">
        <v>70</v>
      </c>
    </row>
    <row r="12" spans="1:11" ht="31.5" customHeight="1" x14ac:dyDescent="0.35">
      <c r="A12" s="15" t="s">
        <v>88</v>
      </c>
      <c r="B12" s="8" t="s">
        <v>97</v>
      </c>
      <c r="C12" s="14" t="s">
        <v>98</v>
      </c>
      <c r="D12" s="8" t="s">
        <v>99</v>
      </c>
      <c r="E12" s="8" t="s">
        <v>25</v>
      </c>
      <c r="F12" s="8">
        <v>5</v>
      </c>
      <c r="G12" s="8">
        <v>4</v>
      </c>
      <c r="H12" s="8">
        <f t="shared" si="0"/>
        <v>4</v>
      </c>
      <c r="I12" s="8" t="s">
        <v>89</v>
      </c>
      <c r="J12" s="8" t="s">
        <v>100</v>
      </c>
      <c r="K12" s="13" t="s">
        <v>70</v>
      </c>
    </row>
    <row r="13" spans="1:11" ht="31.5" customHeight="1" x14ac:dyDescent="0.35">
      <c r="A13" s="15" t="s">
        <v>88</v>
      </c>
      <c r="B13" s="9" t="s">
        <v>101</v>
      </c>
      <c r="C13" s="12" t="s">
        <v>102</v>
      </c>
      <c r="D13" s="9" t="s">
        <v>103</v>
      </c>
      <c r="E13" s="9" t="s">
        <v>33</v>
      </c>
      <c r="F13" s="9">
        <v>5</v>
      </c>
      <c r="G13" s="9">
        <v>5</v>
      </c>
      <c r="H13" s="9">
        <f t="shared" si="0"/>
        <v>5</v>
      </c>
      <c r="I13" s="9" t="s">
        <v>104</v>
      </c>
      <c r="J13" s="9" t="s">
        <v>105</v>
      </c>
      <c r="K13" s="13" t="s">
        <v>70</v>
      </c>
    </row>
    <row r="14" spans="1:11" ht="31.5" customHeight="1" x14ac:dyDescent="0.35">
      <c r="A14" s="15" t="s">
        <v>88</v>
      </c>
      <c r="B14" s="8" t="s">
        <v>106</v>
      </c>
      <c r="C14" s="14" t="s">
        <v>107</v>
      </c>
      <c r="D14" s="8" t="s">
        <v>108</v>
      </c>
      <c r="E14" s="8" t="s">
        <v>109</v>
      </c>
      <c r="F14" s="8">
        <v>5</v>
      </c>
      <c r="G14" s="8">
        <v>5</v>
      </c>
      <c r="H14" s="8">
        <f t="shared" si="0"/>
        <v>5</v>
      </c>
      <c r="I14" s="8" t="s">
        <v>89</v>
      </c>
      <c r="J14" s="8" t="s">
        <v>110</v>
      </c>
      <c r="K14" s="13" t="s">
        <v>70</v>
      </c>
    </row>
    <row r="15" spans="1:11" ht="31.5" customHeight="1" x14ac:dyDescent="0.35">
      <c r="A15" s="15" t="s">
        <v>88</v>
      </c>
      <c r="B15" s="9" t="s">
        <v>111</v>
      </c>
      <c r="C15" s="12" t="s">
        <v>112</v>
      </c>
      <c r="D15" s="9" t="s">
        <v>113</v>
      </c>
      <c r="E15" s="9" t="s">
        <v>25</v>
      </c>
      <c r="F15" s="9">
        <v>5</v>
      </c>
      <c r="G15" s="9">
        <v>6</v>
      </c>
      <c r="H15" s="9">
        <f t="shared" si="0"/>
        <v>6</v>
      </c>
      <c r="I15" s="9" t="s">
        <v>114</v>
      </c>
      <c r="J15" s="9" t="s">
        <v>115</v>
      </c>
      <c r="K15" s="13" t="s">
        <v>70</v>
      </c>
    </row>
    <row r="16" spans="1:11" ht="31.5" customHeight="1" x14ac:dyDescent="0.35">
      <c r="A16" s="15" t="s">
        <v>88</v>
      </c>
      <c r="B16" s="8" t="s">
        <v>116</v>
      </c>
      <c r="C16" s="14" t="s">
        <v>117</v>
      </c>
      <c r="D16" s="8" t="s">
        <v>118</v>
      </c>
      <c r="E16" s="8" t="s">
        <v>25</v>
      </c>
      <c r="F16" s="8">
        <v>2</v>
      </c>
      <c r="G16" s="8">
        <v>6</v>
      </c>
      <c r="H16" s="8">
        <f t="shared" si="0"/>
        <v>6</v>
      </c>
      <c r="I16" s="8" t="s">
        <v>111</v>
      </c>
      <c r="J16" s="8" t="s">
        <v>119</v>
      </c>
      <c r="K16" s="13" t="s">
        <v>70</v>
      </c>
    </row>
    <row r="17" spans="1:11" ht="31.5" customHeight="1" x14ac:dyDescent="0.35">
      <c r="A17" s="16" t="s">
        <v>120</v>
      </c>
      <c r="B17" s="9" t="s">
        <v>121</v>
      </c>
      <c r="C17" s="12" t="s">
        <v>122</v>
      </c>
      <c r="D17" s="9" t="s">
        <v>123</v>
      </c>
      <c r="E17" s="9" t="s">
        <v>29</v>
      </c>
      <c r="F17" s="9">
        <v>7</v>
      </c>
      <c r="G17" s="9">
        <v>7</v>
      </c>
      <c r="H17" s="9">
        <f t="shared" si="0"/>
        <v>8</v>
      </c>
      <c r="I17" s="9" t="s">
        <v>111</v>
      </c>
      <c r="J17" s="9" t="s">
        <v>124</v>
      </c>
      <c r="K17" s="13" t="s">
        <v>70</v>
      </c>
    </row>
    <row r="18" spans="1:11" ht="31.5" customHeight="1" x14ac:dyDescent="0.35">
      <c r="A18" s="16" t="s">
        <v>120</v>
      </c>
      <c r="B18" s="8" t="s">
        <v>125</v>
      </c>
      <c r="C18" s="14" t="s">
        <v>126</v>
      </c>
      <c r="D18" s="8" t="s">
        <v>127</v>
      </c>
      <c r="E18" s="8" t="s">
        <v>29</v>
      </c>
      <c r="F18" s="8">
        <v>10</v>
      </c>
      <c r="G18" s="8">
        <v>7</v>
      </c>
      <c r="H18" s="8">
        <f t="shared" si="0"/>
        <v>8</v>
      </c>
      <c r="I18" s="8" t="s">
        <v>121</v>
      </c>
      <c r="J18" s="8" t="s">
        <v>128</v>
      </c>
      <c r="K18" s="13" t="s">
        <v>70</v>
      </c>
    </row>
    <row r="19" spans="1:11" ht="31.5" customHeight="1" x14ac:dyDescent="0.35">
      <c r="A19" s="16" t="s">
        <v>120</v>
      </c>
      <c r="B19" s="9" t="s">
        <v>129</v>
      </c>
      <c r="C19" s="12" t="s">
        <v>130</v>
      </c>
      <c r="D19" s="9" t="s">
        <v>131</v>
      </c>
      <c r="E19" s="9" t="s">
        <v>33</v>
      </c>
      <c r="F19" s="9">
        <v>10</v>
      </c>
      <c r="G19" s="9">
        <v>8</v>
      </c>
      <c r="H19" s="9">
        <f t="shared" si="0"/>
        <v>9</v>
      </c>
      <c r="I19" s="9" t="s">
        <v>125</v>
      </c>
      <c r="J19" s="9" t="s">
        <v>132</v>
      </c>
      <c r="K19" s="13" t="s">
        <v>70</v>
      </c>
    </row>
    <row r="20" spans="1:11" ht="31.5" customHeight="1" x14ac:dyDescent="0.35">
      <c r="A20" s="16" t="s">
        <v>120</v>
      </c>
      <c r="B20" s="8" t="s">
        <v>133</v>
      </c>
      <c r="C20" s="14" t="s">
        <v>134</v>
      </c>
      <c r="D20" s="8" t="s">
        <v>135</v>
      </c>
      <c r="E20" s="8" t="s">
        <v>50</v>
      </c>
      <c r="F20" s="8">
        <v>10</v>
      </c>
      <c r="G20" s="8">
        <v>8</v>
      </c>
      <c r="H20" s="8">
        <f t="shared" si="0"/>
        <v>9</v>
      </c>
      <c r="I20" s="8" t="s">
        <v>111</v>
      </c>
      <c r="J20" s="8" t="s">
        <v>136</v>
      </c>
      <c r="K20" s="13" t="s">
        <v>70</v>
      </c>
    </row>
    <row r="21" spans="1:11" ht="31.5" customHeight="1" x14ac:dyDescent="0.35">
      <c r="A21" s="16" t="s">
        <v>120</v>
      </c>
      <c r="B21" s="9" t="s">
        <v>137</v>
      </c>
      <c r="C21" s="12" t="s">
        <v>138</v>
      </c>
      <c r="D21" s="9" t="s">
        <v>139</v>
      </c>
      <c r="E21" s="9" t="s">
        <v>50</v>
      </c>
      <c r="F21" s="9">
        <v>7</v>
      </c>
      <c r="G21" s="9">
        <v>9</v>
      </c>
      <c r="H21" s="9">
        <f t="shared" si="0"/>
        <v>10</v>
      </c>
      <c r="I21" s="9" t="s">
        <v>133</v>
      </c>
      <c r="J21" s="9" t="s">
        <v>140</v>
      </c>
      <c r="K21" s="13" t="s">
        <v>70</v>
      </c>
    </row>
    <row r="22" spans="1:11" ht="31.5" customHeight="1" x14ac:dyDescent="0.35">
      <c r="A22" s="16" t="s">
        <v>120</v>
      </c>
      <c r="B22" s="8" t="s">
        <v>141</v>
      </c>
      <c r="C22" s="14" t="s">
        <v>142</v>
      </c>
      <c r="D22" s="8" t="s">
        <v>143</v>
      </c>
      <c r="E22" s="8" t="s">
        <v>45</v>
      </c>
      <c r="F22" s="8">
        <v>3</v>
      </c>
      <c r="G22" s="8">
        <v>10</v>
      </c>
      <c r="H22" s="8">
        <f t="shared" si="0"/>
        <v>10</v>
      </c>
      <c r="I22" s="8" t="s">
        <v>144</v>
      </c>
      <c r="J22" s="8" t="s">
        <v>145</v>
      </c>
      <c r="K22" s="13" t="s">
        <v>70</v>
      </c>
    </row>
    <row r="23" spans="1:11" ht="31.5" customHeight="1" x14ac:dyDescent="0.35">
      <c r="A23" s="17" t="s">
        <v>146</v>
      </c>
      <c r="B23" s="9" t="s">
        <v>147</v>
      </c>
      <c r="C23" s="12" t="s">
        <v>148</v>
      </c>
      <c r="D23" s="9" t="s">
        <v>149</v>
      </c>
      <c r="E23" s="9" t="s">
        <v>33</v>
      </c>
      <c r="F23" s="9">
        <v>7</v>
      </c>
      <c r="G23" s="9">
        <v>11</v>
      </c>
      <c r="H23" s="9">
        <f t="shared" si="0"/>
        <v>12</v>
      </c>
      <c r="I23" s="9" t="s">
        <v>141</v>
      </c>
      <c r="J23" s="9" t="s">
        <v>150</v>
      </c>
      <c r="K23" s="13" t="s">
        <v>70</v>
      </c>
    </row>
    <row r="24" spans="1:11" ht="31.5" customHeight="1" x14ac:dyDescent="0.35">
      <c r="A24" s="17" t="s">
        <v>146</v>
      </c>
      <c r="B24" s="8" t="s">
        <v>151</v>
      </c>
      <c r="C24" s="14" t="s">
        <v>152</v>
      </c>
      <c r="D24" s="8" t="s">
        <v>153</v>
      </c>
      <c r="E24" s="8" t="s">
        <v>33</v>
      </c>
      <c r="F24" s="8">
        <v>14</v>
      </c>
      <c r="G24" s="8">
        <v>11</v>
      </c>
      <c r="H24" s="8">
        <f t="shared" si="0"/>
        <v>13</v>
      </c>
      <c r="I24" s="8" t="s">
        <v>141</v>
      </c>
      <c r="J24" s="8" t="s">
        <v>154</v>
      </c>
      <c r="K24" s="13" t="s">
        <v>70</v>
      </c>
    </row>
    <row r="25" spans="1:11" ht="31.5" customHeight="1" x14ac:dyDescent="0.35">
      <c r="A25" s="17" t="s">
        <v>146</v>
      </c>
      <c r="B25" s="9" t="s">
        <v>155</v>
      </c>
      <c r="C25" s="12" t="s">
        <v>156</v>
      </c>
      <c r="D25" s="9" t="s">
        <v>157</v>
      </c>
      <c r="E25" s="9" t="s">
        <v>33</v>
      </c>
      <c r="F25" s="9">
        <v>14</v>
      </c>
      <c r="G25" s="9">
        <v>12</v>
      </c>
      <c r="H25" s="9">
        <f t="shared" si="0"/>
        <v>14</v>
      </c>
      <c r="I25" s="9" t="s">
        <v>158</v>
      </c>
      <c r="J25" s="9" t="s">
        <v>159</v>
      </c>
      <c r="K25" s="13" t="s">
        <v>70</v>
      </c>
    </row>
    <row r="26" spans="1:11" ht="31.5" customHeight="1" x14ac:dyDescent="0.35">
      <c r="A26" s="17" t="s">
        <v>146</v>
      </c>
      <c r="B26" s="8" t="s">
        <v>160</v>
      </c>
      <c r="C26" s="14" t="s">
        <v>161</v>
      </c>
      <c r="D26" s="8" t="s">
        <v>162</v>
      </c>
      <c r="E26" s="8" t="s">
        <v>33</v>
      </c>
      <c r="F26" s="8">
        <v>10</v>
      </c>
      <c r="G26" s="8">
        <v>13</v>
      </c>
      <c r="H26" s="8">
        <f t="shared" si="0"/>
        <v>14</v>
      </c>
      <c r="I26" s="8" t="s">
        <v>155</v>
      </c>
      <c r="J26" s="8" t="s">
        <v>163</v>
      </c>
      <c r="K26" s="13" t="s">
        <v>70</v>
      </c>
    </row>
    <row r="27" spans="1:11" ht="31.5" customHeight="1" x14ac:dyDescent="0.35">
      <c r="A27" s="17" t="s">
        <v>146</v>
      </c>
      <c r="B27" s="9" t="s">
        <v>164</v>
      </c>
      <c r="C27" s="12" t="s">
        <v>165</v>
      </c>
      <c r="D27" s="9" t="s">
        <v>166</v>
      </c>
      <c r="E27" s="9" t="s">
        <v>37</v>
      </c>
      <c r="F27" s="9">
        <v>10</v>
      </c>
      <c r="G27" s="9">
        <v>13</v>
      </c>
      <c r="H27" s="9">
        <f t="shared" si="0"/>
        <v>14</v>
      </c>
      <c r="I27" s="9" t="s">
        <v>155</v>
      </c>
      <c r="J27" s="9" t="s">
        <v>167</v>
      </c>
      <c r="K27" s="13" t="s">
        <v>70</v>
      </c>
    </row>
    <row r="28" spans="1:11" ht="31.5" customHeight="1" x14ac:dyDescent="0.35">
      <c r="A28" s="17" t="s">
        <v>146</v>
      </c>
      <c r="B28" s="8" t="s">
        <v>168</v>
      </c>
      <c r="C28" s="14" t="s">
        <v>169</v>
      </c>
      <c r="D28" s="8" t="s">
        <v>170</v>
      </c>
      <c r="E28" s="8" t="s">
        <v>45</v>
      </c>
      <c r="F28" s="8">
        <v>3</v>
      </c>
      <c r="G28" s="8">
        <v>15</v>
      </c>
      <c r="H28" s="8">
        <f t="shared" si="0"/>
        <v>15</v>
      </c>
      <c r="I28" s="8" t="s">
        <v>171</v>
      </c>
      <c r="J28" s="8" t="s">
        <v>172</v>
      </c>
      <c r="K28" s="13" t="s">
        <v>70</v>
      </c>
    </row>
    <row r="29" spans="1:11" ht="31.5" customHeight="1" x14ac:dyDescent="0.35">
      <c r="A29" s="18" t="s">
        <v>173</v>
      </c>
      <c r="B29" s="9" t="s">
        <v>174</v>
      </c>
      <c r="C29" s="12" t="s">
        <v>175</v>
      </c>
      <c r="D29" s="9" t="s">
        <v>176</v>
      </c>
      <c r="E29" s="9" t="s">
        <v>37</v>
      </c>
      <c r="F29" s="9">
        <v>7</v>
      </c>
      <c r="G29" s="9">
        <v>16</v>
      </c>
      <c r="H29" s="9">
        <f t="shared" si="0"/>
        <v>17</v>
      </c>
      <c r="I29" s="9" t="s">
        <v>168</v>
      </c>
      <c r="J29" s="9" t="s">
        <v>177</v>
      </c>
      <c r="K29" s="13" t="s">
        <v>70</v>
      </c>
    </row>
    <row r="30" spans="1:11" ht="31.5" customHeight="1" x14ac:dyDescent="0.35">
      <c r="A30" s="18" t="s">
        <v>173</v>
      </c>
      <c r="B30" s="8" t="s">
        <v>178</v>
      </c>
      <c r="C30" s="14" t="s">
        <v>179</v>
      </c>
      <c r="D30" s="8" t="s">
        <v>180</v>
      </c>
      <c r="E30" s="8" t="s">
        <v>109</v>
      </c>
      <c r="F30" s="8">
        <v>10</v>
      </c>
      <c r="G30" s="8">
        <v>16</v>
      </c>
      <c r="H30" s="8">
        <f t="shared" si="0"/>
        <v>17</v>
      </c>
      <c r="I30" s="8" t="s">
        <v>168</v>
      </c>
      <c r="J30" s="8" t="s">
        <v>181</v>
      </c>
      <c r="K30" s="13" t="s">
        <v>70</v>
      </c>
    </row>
    <row r="31" spans="1:11" ht="31.5" customHeight="1" x14ac:dyDescent="0.35">
      <c r="A31" s="18" t="s">
        <v>173</v>
      </c>
      <c r="B31" s="9" t="s">
        <v>182</v>
      </c>
      <c r="C31" s="12" t="s">
        <v>183</v>
      </c>
      <c r="D31" s="9" t="s">
        <v>184</v>
      </c>
      <c r="E31" s="9" t="s">
        <v>37</v>
      </c>
      <c r="F31" s="9">
        <v>7</v>
      </c>
      <c r="G31" s="9">
        <v>17</v>
      </c>
      <c r="H31" s="9">
        <f t="shared" si="0"/>
        <v>18</v>
      </c>
      <c r="I31" s="9" t="s">
        <v>174</v>
      </c>
      <c r="J31" s="9" t="s">
        <v>185</v>
      </c>
      <c r="K31" s="13" t="s">
        <v>70</v>
      </c>
    </row>
    <row r="32" spans="1:11" ht="31.5" customHeight="1" x14ac:dyDescent="0.35">
      <c r="A32" s="18" t="s">
        <v>173</v>
      </c>
      <c r="B32" s="8" t="s">
        <v>186</v>
      </c>
      <c r="C32" s="14" t="s">
        <v>187</v>
      </c>
      <c r="D32" s="8" t="s">
        <v>188</v>
      </c>
      <c r="E32" s="8" t="s">
        <v>33</v>
      </c>
      <c r="F32" s="8">
        <v>7</v>
      </c>
      <c r="G32" s="8">
        <v>17</v>
      </c>
      <c r="H32" s="8">
        <f t="shared" si="0"/>
        <v>18</v>
      </c>
      <c r="I32" s="8" t="s">
        <v>174</v>
      </c>
      <c r="J32" s="8" t="s">
        <v>189</v>
      </c>
      <c r="K32" s="13" t="s">
        <v>70</v>
      </c>
    </row>
    <row r="33" spans="1:11" ht="31.5" customHeight="1" x14ac:dyDescent="0.35">
      <c r="A33" s="18" t="s">
        <v>173</v>
      </c>
      <c r="B33" s="9" t="s">
        <v>190</v>
      </c>
      <c r="C33" s="12" t="s">
        <v>191</v>
      </c>
      <c r="D33" s="9" t="s">
        <v>192</v>
      </c>
      <c r="E33" s="9" t="s">
        <v>45</v>
      </c>
      <c r="F33" s="9">
        <v>2</v>
      </c>
      <c r="G33" s="9">
        <v>18</v>
      </c>
      <c r="H33" s="9">
        <f t="shared" si="0"/>
        <v>18</v>
      </c>
      <c r="I33" s="9" t="s">
        <v>193</v>
      </c>
      <c r="J33" s="9" t="s">
        <v>194</v>
      </c>
      <c r="K33" s="13" t="s">
        <v>70</v>
      </c>
    </row>
    <row r="34" spans="1:11" ht="31.5" customHeight="1" x14ac:dyDescent="0.35">
      <c r="A34" s="19" t="s">
        <v>195</v>
      </c>
      <c r="B34" s="8" t="s">
        <v>196</v>
      </c>
      <c r="C34" s="14" t="s">
        <v>197</v>
      </c>
      <c r="D34" s="8" t="s">
        <v>198</v>
      </c>
      <c r="E34" s="8" t="s">
        <v>41</v>
      </c>
      <c r="F34" s="8">
        <v>5</v>
      </c>
      <c r="G34" s="8">
        <v>19</v>
      </c>
      <c r="H34" s="8">
        <f t="shared" si="0"/>
        <v>19</v>
      </c>
      <c r="I34" s="8" t="s">
        <v>190</v>
      </c>
      <c r="J34" s="8" t="s">
        <v>199</v>
      </c>
      <c r="K34" s="13" t="s">
        <v>70</v>
      </c>
    </row>
    <row r="35" spans="1:11" ht="31.5" customHeight="1" x14ac:dyDescent="0.35">
      <c r="A35" s="19" t="s">
        <v>195</v>
      </c>
      <c r="B35" s="9" t="s">
        <v>200</v>
      </c>
      <c r="C35" s="12" t="s">
        <v>201</v>
      </c>
      <c r="D35" s="9" t="s">
        <v>202</v>
      </c>
      <c r="E35" s="9" t="s">
        <v>21</v>
      </c>
      <c r="F35" s="9">
        <v>14</v>
      </c>
      <c r="G35" s="9">
        <v>19</v>
      </c>
      <c r="H35" s="9">
        <f t="shared" si="0"/>
        <v>21</v>
      </c>
      <c r="I35" s="9" t="s">
        <v>196</v>
      </c>
      <c r="J35" s="9" t="s">
        <v>203</v>
      </c>
      <c r="K35" s="13" t="s">
        <v>70</v>
      </c>
    </row>
    <row r="36" spans="1:11" ht="31.5" customHeight="1" x14ac:dyDescent="0.35">
      <c r="A36" s="19" t="s">
        <v>195</v>
      </c>
      <c r="B36" s="8" t="s">
        <v>204</v>
      </c>
      <c r="C36" s="14" t="s">
        <v>205</v>
      </c>
      <c r="D36" s="8" t="s">
        <v>206</v>
      </c>
      <c r="E36" s="8" t="s">
        <v>41</v>
      </c>
      <c r="F36" s="8">
        <v>7</v>
      </c>
      <c r="G36" s="8">
        <v>20</v>
      </c>
      <c r="H36" s="8">
        <f t="shared" si="0"/>
        <v>21</v>
      </c>
      <c r="I36" s="8" t="s">
        <v>200</v>
      </c>
      <c r="J36" s="8" t="s">
        <v>207</v>
      </c>
      <c r="K36" s="13" t="s">
        <v>70</v>
      </c>
    </row>
    <row r="37" spans="1:11" ht="31.5" customHeight="1" x14ac:dyDescent="0.35">
      <c r="A37" s="19" t="s">
        <v>195</v>
      </c>
      <c r="B37" s="9" t="s">
        <v>208</v>
      </c>
      <c r="C37" s="12" t="s">
        <v>209</v>
      </c>
      <c r="D37" s="9" t="s">
        <v>210</v>
      </c>
      <c r="E37" s="9" t="s">
        <v>211</v>
      </c>
      <c r="F37" s="9">
        <v>2</v>
      </c>
      <c r="G37" s="9">
        <v>21</v>
      </c>
      <c r="H37" s="9">
        <f t="shared" si="0"/>
        <v>21</v>
      </c>
      <c r="I37" s="9" t="s">
        <v>204</v>
      </c>
      <c r="J37" s="9" t="s">
        <v>212</v>
      </c>
      <c r="K37" s="13" t="s">
        <v>70</v>
      </c>
    </row>
    <row r="38" spans="1:11" ht="31.5" customHeight="1" x14ac:dyDescent="0.35">
      <c r="A38" s="20" t="s">
        <v>213</v>
      </c>
      <c r="B38" s="8" t="s">
        <v>214</v>
      </c>
      <c r="C38" s="14" t="s">
        <v>215</v>
      </c>
      <c r="D38" s="8" t="s">
        <v>216</v>
      </c>
      <c r="E38" s="8" t="s">
        <v>50</v>
      </c>
      <c r="F38" s="8">
        <v>5</v>
      </c>
      <c r="G38" s="8">
        <v>22</v>
      </c>
      <c r="H38" s="8">
        <f t="shared" si="0"/>
        <v>22</v>
      </c>
      <c r="I38" s="8" t="s">
        <v>208</v>
      </c>
      <c r="J38" s="8" t="s">
        <v>217</v>
      </c>
      <c r="K38" s="13" t="s">
        <v>70</v>
      </c>
    </row>
    <row r="39" spans="1:11" ht="31.5" customHeight="1" x14ac:dyDescent="0.35">
      <c r="A39" s="20" t="s">
        <v>213</v>
      </c>
      <c r="B39" s="9" t="s">
        <v>218</v>
      </c>
      <c r="C39" s="12" t="s">
        <v>219</v>
      </c>
      <c r="D39" s="9" t="s">
        <v>220</v>
      </c>
      <c r="E39" s="9" t="s">
        <v>221</v>
      </c>
      <c r="F39" s="9">
        <v>7</v>
      </c>
      <c r="G39" s="9">
        <v>22</v>
      </c>
      <c r="H39" s="9">
        <f t="shared" si="0"/>
        <v>23</v>
      </c>
      <c r="I39" s="9" t="s">
        <v>208</v>
      </c>
      <c r="J39" s="9" t="s">
        <v>222</v>
      </c>
      <c r="K39" s="13" t="s">
        <v>70</v>
      </c>
    </row>
    <row r="40" spans="1:11" ht="31.5" customHeight="1" x14ac:dyDescent="0.35">
      <c r="A40" s="20" t="s">
        <v>213</v>
      </c>
      <c r="B40" s="8" t="s">
        <v>223</v>
      </c>
      <c r="C40" s="14" t="s">
        <v>224</v>
      </c>
      <c r="D40" s="8" t="s">
        <v>225</v>
      </c>
      <c r="E40" s="8" t="s">
        <v>221</v>
      </c>
      <c r="F40" s="8">
        <v>5</v>
      </c>
      <c r="G40" s="8">
        <v>23</v>
      </c>
      <c r="H40" s="8">
        <f t="shared" si="0"/>
        <v>23</v>
      </c>
      <c r="I40" s="8" t="s">
        <v>218</v>
      </c>
      <c r="J40" s="8" t="s">
        <v>226</v>
      </c>
      <c r="K40" s="13" t="s">
        <v>70</v>
      </c>
    </row>
    <row r="41" spans="1:11" ht="31.5" customHeight="1" x14ac:dyDescent="0.35">
      <c r="A41" s="20" t="s">
        <v>213</v>
      </c>
      <c r="B41" s="9" t="s">
        <v>227</v>
      </c>
      <c r="C41" s="12" t="s">
        <v>46</v>
      </c>
      <c r="D41" s="9" t="s">
        <v>228</v>
      </c>
      <c r="E41" s="9" t="s">
        <v>45</v>
      </c>
      <c r="F41" s="9">
        <v>3</v>
      </c>
      <c r="G41" s="9">
        <v>23</v>
      </c>
      <c r="H41" s="9">
        <f t="shared" si="0"/>
        <v>23</v>
      </c>
      <c r="I41" s="9" t="s">
        <v>229</v>
      </c>
      <c r="J41" s="9" t="s">
        <v>230</v>
      </c>
      <c r="K41" s="13" t="s">
        <v>70</v>
      </c>
    </row>
    <row r="42" spans="1:11" ht="31.5" customHeight="1" x14ac:dyDescent="0.35">
      <c r="A42" s="21" t="s">
        <v>231</v>
      </c>
      <c r="B42" s="8" t="s">
        <v>232</v>
      </c>
      <c r="C42" s="14" t="s">
        <v>233</v>
      </c>
      <c r="D42" s="8" t="s">
        <v>234</v>
      </c>
      <c r="E42" s="8" t="s">
        <v>50</v>
      </c>
      <c r="F42" s="8">
        <v>14</v>
      </c>
      <c r="G42" s="8">
        <v>24</v>
      </c>
      <c r="H42" s="8">
        <f t="shared" si="0"/>
        <v>26</v>
      </c>
      <c r="I42" s="8" t="s">
        <v>227</v>
      </c>
      <c r="J42" s="8" t="s">
        <v>235</v>
      </c>
      <c r="K42" s="13" t="s">
        <v>70</v>
      </c>
    </row>
    <row r="43" spans="1:11" ht="31.5" customHeight="1" x14ac:dyDescent="0.35">
      <c r="A43" s="21" t="s">
        <v>231</v>
      </c>
      <c r="B43" s="9" t="s">
        <v>236</v>
      </c>
      <c r="C43" s="12" t="s">
        <v>237</v>
      </c>
      <c r="D43" s="9" t="s">
        <v>238</v>
      </c>
      <c r="E43" s="9" t="s">
        <v>37</v>
      </c>
      <c r="F43" s="9">
        <v>30</v>
      </c>
      <c r="G43" s="9">
        <v>24</v>
      </c>
      <c r="H43" s="9">
        <f t="shared" si="0"/>
        <v>29</v>
      </c>
      <c r="I43" s="9" t="s">
        <v>227</v>
      </c>
      <c r="J43" s="9" t="s">
        <v>239</v>
      </c>
      <c r="K43" s="13" t="s">
        <v>70</v>
      </c>
    </row>
    <row r="44" spans="1:11" ht="31.5" customHeight="1" x14ac:dyDescent="0.35">
      <c r="A44" s="21" t="s">
        <v>231</v>
      </c>
      <c r="B44" s="8" t="s">
        <v>240</v>
      </c>
      <c r="C44" s="14" t="s">
        <v>241</v>
      </c>
      <c r="D44" s="8" t="s">
        <v>242</v>
      </c>
      <c r="E44" s="8" t="s">
        <v>33</v>
      </c>
      <c r="F44" s="8">
        <v>30</v>
      </c>
      <c r="G44" s="8">
        <v>25</v>
      </c>
      <c r="H44" s="8">
        <f t="shared" si="0"/>
        <v>30</v>
      </c>
      <c r="I44" s="8" t="s">
        <v>236</v>
      </c>
      <c r="J44" s="8" t="s">
        <v>243</v>
      </c>
      <c r="K44" s="13" t="s">
        <v>70</v>
      </c>
    </row>
    <row r="45" spans="1:11" ht="31.5" customHeight="1" x14ac:dyDescent="0.35">
      <c r="A45" s="21" t="s">
        <v>231</v>
      </c>
      <c r="B45" s="9" t="s">
        <v>244</v>
      </c>
      <c r="C45" s="12" t="s">
        <v>245</v>
      </c>
      <c r="D45" s="9" t="s">
        <v>246</v>
      </c>
      <c r="E45" s="9" t="s">
        <v>21</v>
      </c>
      <c r="F45" s="9">
        <v>30</v>
      </c>
      <c r="G45" s="9">
        <v>25</v>
      </c>
      <c r="H45" s="9">
        <f t="shared" si="0"/>
        <v>30</v>
      </c>
      <c r="I45" s="9" t="s">
        <v>227</v>
      </c>
      <c r="J45" s="9" t="s">
        <v>247</v>
      </c>
      <c r="K45" s="13" t="s">
        <v>70</v>
      </c>
    </row>
    <row r="46" spans="1:11" ht="31.5" customHeight="1" x14ac:dyDescent="0.35">
      <c r="A46" s="21" t="s">
        <v>231</v>
      </c>
      <c r="B46" s="8" t="s">
        <v>248</v>
      </c>
      <c r="C46" s="14" t="s">
        <v>249</v>
      </c>
      <c r="D46" s="8" t="s">
        <v>250</v>
      </c>
      <c r="E46" s="8" t="s">
        <v>109</v>
      </c>
      <c r="F46" s="8">
        <v>5</v>
      </c>
      <c r="G46" s="8">
        <v>26</v>
      </c>
      <c r="H46" s="8">
        <f t="shared" si="0"/>
        <v>26</v>
      </c>
      <c r="I46" s="8" t="s">
        <v>227</v>
      </c>
      <c r="J46" s="8" t="s">
        <v>251</v>
      </c>
      <c r="K46" s="13" t="s">
        <v>70</v>
      </c>
    </row>
    <row r="47" spans="1:11" ht="31.5" customHeight="1" x14ac:dyDescent="0.35">
      <c r="A47" s="21" t="s">
        <v>231</v>
      </c>
      <c r="B47" s="9" t="s">
        <v>252</v>
      </c>
      <c r="C47" s="12" t="s">
        <v>253</v>
      </c>
      <c r="D47" s="9" t="s">
        <v>254</v>
      </c>
      <c r="E47" s="9" t="s">
        <v>21</v>
      </c>
      <c r="F47" s="9">
        <v>30</v>
      </c>
      <c r="G47" s="9">
        <v>26</v>
      </c>
      <c r="H47" s="9">
        <f t="shared" si="0"/>
        <v>31</v>
      </c>
      <c r="I47" s="9" t="s">
        <v>255</v>
      </c>
      <c r="J47" s="9" t="s">
        <v>256</v>
      </c>
      <c r="K47" s="13" t="s">
        <v>70</v>
      </c>
    </row>
  </sheetData>
  <mergeCells count="2">
    <mergeCell ref="A1:J1"/>
    <mergeCell ref="A2:J2"/>
  </mergeCells>
  <conditionalFormatting sqref="K5:K47">
    <cfRule type="cellIs" dxfId="10" priority="2" operator="equal">
      <formula>"Done"</formula>
    </cfRule>
    <cfRule type="cellIs" dxfId="9" priority="3" operator="equal">
      <formula>"In progress"</formula>
    </cfRule>
    <cfRule type="cellIs" dxfId="8" priority="4" operator="equal">
      <formula>"At risk"</formula>
    </cfRule>
    <cfRule type="cellIs" dxfId="7" priority="5" operator="equal">
      <formula>"Blocked"</formula>
    </cfRule>
    <cfRule type="cellIs" dxfId="6" priority="6" operator="equal">
      <formula>"Not started"</formula>
    </cfRule>
  </conditionalFormatting>
  <dataValidations count="1">
    <dataValidation type="list" allowBlank="1" sqref="K5:K47" xr:uid="{00000000-0002-0000-0100-000000000000}">
      <formula1>"Not started,In progress,At risk,Blocked,Done"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zoomScaleNormal="100" workbookViewId="0"/>
  </sheetViews>
  <sheetFormatPr defaultColWidth="8.6328125" defaultRowHeight="14.5" x14ac:dyDescent="0.35"/>
  <cols>
    <col min="1" max="1" width="9" customWidth="1"/>
    <col min="2" max="2" width="38" customWidth="1"/>
    <col min="3" max="3" width="13" customWidth="1"/>
    <col min="4" max="5" width="42" customWidth="1"/>
    <col min="6" max="6" width="24" customWidth="1"/>
  </cols>
  <sheetData>
    <row r="1" spans="1:6" ht="36" customHeight="1" x14ac:dyDescent="0.35">
      <c r="A1" s="5" t="s">
        <v>257</v>
      </c>
      <c r="B1" s="5"/>
      <c r="C1" s="5"/>
      <c r="D1" s="5"/>
      <c r="E1" s="5"/>
      <c r="F1" s="5"/>
    </row>
    <row r="2" spans="1:6" ht="21.75" customHeight="1" x14ac:dyDescent="0.35">
      <c r="A2" s="4" t="s">
        <v>258</v>
      </c>
      <c r="B2" s="4"/>
      <c r="C2" s="4"/>
      <c r="D2" s="4"/>
      <c r="E2" s="4"/>
      <c r="F2" s="4"/>
    </row>
    <row r="4" spans="1:6" ht="27.75" customHeight="1" x14ac:dyDescent="0.35">
      <c r="A4" s="10" t="s">
        <v>259</v>
      </c>
      <c r="B4" s="10" t="s">
        <v>260</v>
      </c>
      <c r="C4" s="10" t="s">
        <v>261</v>
      </c>
      <c r="D4" s="10" t="s">
        <v>262</v>
      </c>
      <c r="E4" s="10" t="s">
        <v>263</v>
      </c>
      <c r="F4" s="10" t="s">
        <v>264</v>
      </c>
    </row>
    <row r="5" spans="1:6" ht="31.5" customHeight="1" x14ac:dyDescent="0.35">
      <c r="A5" s="9" t="s">
        <v>265</v>
      </c>
      <c r="B5" s="9" t="s">
        <v>22</v>
      </c>
      <c r="C5" s="9">
        <v>3</v>
      </c>
      <c r="D5" s="9" t="s">
        <v>266</v>
      </c>
      <c r="E5" s="9" t="s">
        <v>267</v>
      </c>
      <c r="F5" s="9" t="s">
        <v>211</v>
      </c>
    </row>
    <row r="6" spans="1:6" ht="31.5" customHeight="1" x14ac:dyDescent="0.35">
      <c r="A6" s="8" t="s">
        <v>268</v>
      </c>
      <c r="B6" s="8" t="s">
        <v>269</v>
      </c>
      <c r="C6" s="8">
        <v>6</v>
      </c>
      <c r="D6" s="8" t="s">
        <v>270</v>
      </c>
      <c r="E6" s="8" t="s">
        <v>271</v>
      </c>
      <c r="F6" s="8" t="s">
        <v>272</v>
      </c>
    </row>
    <row r="7" spans="1:6" ht="31.5" customHeight="1" x14ac:dyDescent="0.35">
      <c r="A7" s="9" t="s">
        <v>273</v>
      </c>
      <c r="B7" s="9" t="s">
        <v>274</v>
      </c>
      <c r="C7" s="9">
        <v>10</v>
      </c>
      <c r="D7" s="9" t="s">
        <v>275</v>
      </c>
      <c r="E7" s="9" t="s">
        <v>276</v>
      </c>
      <c r="F7" s="9" t="s">
        <v>25</v>
      </c>
    </row>
    <row r="8" spans="1:6" ht="31.5" customHeight="1" x14ac:dyDescent="0.35">
      <c r="A8" s="8" t="s">
        <v>277</v>
      </c>
      <c r="B8" s="8" t="s">
        <v>169</v>
      </c>
      <c r="C8" s="8">
        <v>15</v>
      </c>
      <c r="D8" s="8" t="s">
        <v>278</v>
      </c>
      <c r="E8" s="8" t="s">
        <v>279</v>
      </c>
      <c r="F8" s="8" t="s">
        <v>45</v>
      </c>
    </row>
    <row r="9" spans="1:6" ht="31.5" customHeight="1" x14ac:dyDescent="0.35">
      <c r="A9" s="9" t="s">
        <v>280</v>
      </c>
      <c r="B9" s="9" t="s">
        <v>191</v>
      </c>
      <c r="C9" s="9">
        <v>18</v>
      </c>
      <c r="D9" s="9" t="s">
        <v>281</v>
      </c>
      <c r="E9" s="9" t="s">
        <v>282</v>
      </c>
      <c r="F9" s="9" t="s">
        <v>283</v>
      </c>
    </row>
    <row r="10" spans="1:6" ht="31.5" customHeight="1" x14ac:dyDescent="0.35">
      <c r="A10" s="8" t="s">
        <v>284</v>
      </c>
      <c r="B10" s="8" t="s">
        <v>42</v>
      </c>
      <c r="C10" s="8">
        <v>21</v>
      </c>
      <c r="D10" s="8" t="s">
        <v>285</v>
      </c>
      <c r="E10" s="8" t="s">
        <v>286</v>
      </c>
      <c r="F10" s="8" t="s">
        <v>211</v>
      </c>
    </row>
    <row r="11" spans="1:6" ht="31.5" customHeight="1" x14ac:dyDescent="0.35">
      <c r="A11" s="9" t="s">
        <v>287</v>
      </c>
      <c r="B11" s="9" t="s">
        <v>46</v>
      </c>
      <c r="C11" s="9">
        <v>23</v>
      </c>
      <c r="D11" s="9" t="s">
        <v>288</v>
      </c>
      <c r="E11" s="9" t="s">
        <v>289</v>
      </c>
      <c r="F11" s="9" t="s">
        <v>45</v>
      </c>
    </row>
    <row r="12" spans="1:6" ht="31.5" customHeight="1" x14ac:dyDescent="0.35">
      <c r="A12" s="8" t="s">
        <v>290</v>
      </c>
      <c r="B12" s="8" t="s">
        <v>51</v>
      </c>
      <c r="C12" s="8" t="s">
        <v>291</v>
      </c>
      <c r="D12" s="8" t="s">
        <v>292</v>
      </c>
      <c r="E12" s="8" t="s">
        <v>293</v>
      </c>
      <c r="F12" s="8" t="s">
        <v>294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14" width="11" customWidth="1"/>
  </cols>
  <sheetData>
    <row r="1" spans="1:14" ht="36" customHeight="1" x14ac:dyDescent="0.35">
      <c r="A1" s="5" t="s">
        <v>295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1.75" customHeight="1" x14ac:dyDescent="0.35">
      <c r="A2" s="4" t="s">
        <v>296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42" customHeight="1" x14ac:dyDescent="0.35">
      <c r="A4" s="10" t="s">
        <v>297</v>
      </c>
      <c r="B4" s="10" t="s">
        <v>211</v>
      </c>
      <c r="C4" s="10" t="s">
        <v>21</v>
      </c>
      <c r="D4" s="10" t="s">
        <v>45</v>
      </c>
      <c r="E4" s="10" t="s">
        <v>25</v>
      </c>
      <c r="F4" s="10" t="s">
        <v>33</v>
      </c>
      <c r="G4" s="10" t="s">
        <v>29</v>
      </c>
      <c r="H4" s="10" t="s">
        <v>50</v>
      </c>
      <c r="I4" s="10" t="s">
        <v>109</v>
      </c>
      <c r="J4" s="10" t="s">
        <v>298</v>
      </c>
      <c r="K4" s="10" t="s">
        <v>41</v>
      </c>
      <c r="L4" s="10" t="s">
        <v>37</v>
      </c>
      <c r="M4" s="10" t="s">
        <v>299</v>
      </c>
      <c r="N4" s="10" t="s">
        <v>300</v>
      </c>
    </row>
    <row r="5" spans="1:14" ht="31.5" customHeight="1" x14ac:dyDescent="0.35">
      <c r="A5" s="12" t="s">
        <v>66</v>
      </c>
      <c r="B5" s="22" t="s">
        <v>301</v>
      </c>
      <c r="C5" s="23" t="s">
        <v>302</v>
      </c>
      <c r="D5" s="24" t="s">
        <v>303</v>
      </c>
      <c r="E5" s="25" t="s">
        <v>304</v>
      </c>
      <c r="F5" s="25" t="s">
        <v>304</v>
      </c>
      <c r="G5" s="25" t="s">
        <v>304</v>
      </c>
      <c r="H5" s="25" t="s">
        <v>304</v>
      </c>
      <c r="I5" s="25" t="s">
        <v>304</v>
      </c>
      <c r="J5" s="25" t="s">
        <v>304</v>
      </c>
      <c r="K5" s="23" t="s">
        <v>302</v>
      </c>
      <c r="L5" s="25" t="s">
        <v>304</v>
      </c>
      <c r="M5" s="23" t="s">
        <v>302</v>
      </c>
      <c r="N5" s="25" t="s">
        <v>304</v>
      </c>
    </row>
    <row r="6" spans="1:14" ht="31.5" customHeight="1" x14ac:dyDescent="0.35">
      <c r="A6" s="14" t="s">
        <v>305</v>
      </c>
      <c r="B6" s="22" t="s">
        <v>301</v>
      </c>
      <c r="C6" s="24" t="s">
        <v>303</v>
      </c>
      <c r="D6" s="23" t="s">
        <v>302</v>
      </c>
      <c r="E6" s="23" t="s">
        <v>302</v>
      </c>
      <c r="F6" s="23" t="s">
        <v>302</v>
      </c>
      <c r="G6" s="23" t="s">
        <v>302</v>
      </c>
      <c r="H6" s="25" t="s">
        <v>304</v>
      </c>
      <c r="I6" s="23" t="s">
        <v>302</v>
      </c>
      <c r="J6" s="23" t="s">
        <v>302</v>
      </c>
      <c r="K6" s="23" t="s">
        <v>302</v>
      </c>
      <c r="L6" s="25" t="s">
        <v>304</v>
      </c>
      <c r="M6" s="25" t="s">
        <v>304</v>
      </c>
      <c r="N6" s="25" t="s">
        <v>304</v>
      </c>
    </row>
    <row r="7" spans="1:14" ht="31.5" customHeight="1" x14ac:dyDescent="0.35">
      <c r="A7" s="12" t="s">
        <v>306</v>
      </c>
      <c r="B7" s="25" t="s">
        <v>304</v>
      </c>
      <c r="C7" s="23" t="s">
        <v>302</v>
      </c>
      <c r="D7" s="25" t="s">
        <v>304</v>
      </c>
      <c r="E7" s="22" t="s">
        <v>301</v>
      </c>
      <c r="F7" s="24" t="s">
        <v>303</v>
      </c>
      <c r="G7" s="23" t="s">
        <v>302</v>
      </c>
      <c r="H7" s="23" t="s">
        <v>302</v>
      </c>
      <c r="I7" s="23" t="s">
        <v>302</v>
      </c>
      <c r="J7" s="25" t="s">
        <v>304</v>
      </c>
      <c r="K7" s="23" t="s">
        <v>302</v>
      </c>
      <c r="L7" s="23" t="s">
        <v>302</v>
      </c>
      <c r="M7" s="25" t="s">
        <v>304</v>
      </c>
      <c r="N7" s="25" t="s">
        <v>304</v>
      </c>
    </row>
    <row r="8" spans="1:14" ht="31.5" customHeight="1" x14ac:dyDescent="0.35">
      <c r="A8" s="14" t="s">
        <v>307</v>
      </c>
      <c r="B8" s="22" t="s">
        <v>301</v>
      </c>
      <c r="C8" s="24" t="s">
        <v>303</v>
      </c>
      <c r="D8" s="23" t="s">
        <v>302</v>
      </c>
      <c r="E8" s="23" t="s">
        <v>302</v>
      </c>
      <c r="F8" s="23" t="s">
        <v>302</v>
      </c>
      <c r="G8" s="23" t="s">
        <v>302</v>
      </c>
      <c r="H8" s="25" t="s">
        <v>304</v>
      </c>
      <c r="I8" s="23" t="s">
        <v>302</v>
      </c>
      <c r="J8" s="25" t="s">
        <v>304</v>
      </c>
      <c r="K8" s="23" t="s">
        <v>302</v>
      </c>
      <c r="L8" s="25" t="s">
        <v>304</v>
      </c>
      <c r="M8" s="23" t="s">
        <v>302</v>
      </c>
      <c r="N8" s="25" t="s">
        <v>304</v>
      </c>
    </row>
    <row r="9" spans="1:14" ht="31.5" customHeight="1" x14ac:dyDescent="0.35">
      <c r="A9" s="12" t="s">
        <v>308</v>
      </c>
      <c r="B9" s="25" t="s">
        <v>304</v>
      </c>
      <c r="C9" s="23" t="s">
        <v>302</v>
      </c>
      <c r="D9" s="25" t="s">
        <v>304</v>
      </c>
      <c r="E9" s="22" t="s">
        <v>301</v>
      </c>
      <c r="F9" s="24" t="s">
        <v>303</v>
      </c>
      <c r="G9" s="23" t="s">
        <v>302</v>
      </c>
      <c r="H9" s="23" t="s">
        <v>302</v>
      </c>
      <c r="I9" s="23" t="s">
        <v>302</v>
      </c>
      <c r="J9" s="23" t="s">
        <v>302</v>
      </c>
      <c r="K9" s="25" t="s">
        <v>304</v>
      </c>
      <c r="L9" s="23" t="s">
        <v>302</v>
      </c>
      <c r="M9" s="25" t="s">
        <v>304</v>
      </c>
      <c r="N9" s="25" t="s">
        <v>304</v>
      </c>
    </row>
    <row r="10" spans="1:14" ht="31.5" customHeight="1" x14ac:dyDescent="0.35">
      <c r="A10" s="14" t="s">
        <v>94</v>
      </c>
      <c r="B10" s="25" t="s">
        <v>304</v>
      </c>
      <c r="C10" s="23" t="s">
        <v>302</v>
      </c>
      <c r="D10" s="25" t="s">
        <v>304</v>
      </c>
      <c r="E10" s="23" t="s">
        <v>302</v>
      </c>
      <c r="F10" s="22" t="s">
        <v>301</v>
      </c>
      <c r="G10" s="23" t="s">
        <v>302</v>
      </c>
      <c r="H10" s="23" t="s">
        <v>302</v>
      </c>
      <c r="I10" s="23" t="s">
        <v>302</v>
      </c>
      <c r="J10" s="25" t="s">
        <v>304</v>
      </c>
      <c r="K10" s="25" t="s">
        <v>304</v>
      </c>
      <c r="L10" s="23" t="s">
        <v>302</v>
      </c>
      <c r="M10" s="25" t="s">
        <v>304</v>
      </c>
      <c r="N10" s="23" t="s">
        <v>302</v>
      </c>
    </row>
    <row r="11" spans="1:14" ht="31.5" customHeight="1" x14ac:dyDescent="0.35">
      <c r="A11" s="12" t="s">
        <v>309</v>
      </c>
      <c r="B11" s="25" t="s">
        <v>304</v>
      </c>
      <c r="C11" s="23" t="s">
        <v>302</v>
      </c>
      <c r="D11" s="25" t="s">
        <v>304</v>
      </c>
      <c r="E11" s="22" t="s">
        <v>301</v>
      </c>
      <c r="F11" s="24" t="s">
        <v>303</v>
      </c>
      <c r="G11" s="23" t="s">
        <v>302</v>
      </c>
      <c r="H11" s="23" t="s">
        <v>302</v>
      </c>
      <c r="I11" s="23" t="s">
        <v>302</v>
      </c>
      <c r="J11" s="25" t="s">
        <v>304</v>
      </c>
      <c r="K11" s="23" t="s">
        <v>302</v>
      </c>
      <c r="L11" s="23" t="s">
        <v>302</v>
      </c>
      <c r="M11" s="25" t="s">
        <v>304</v>
      </c>
      <c r="N11" s="25" t="s">
        <v>304</v>
      </c>
    </row>
    <row r="12" spans="1:14" ht="31.5" customHeight="1" x14ac:dyDescent="0.35">
      <c r="A12" s="14" t="s">
        <v>310</v>
      </c>
      <c r="B12" s="25" t="s">
        <v>304</v>
      </c>
      <c r="C12" s="23" t="s">
        <v>302</v>
      </c>
      <c r="D12" s="25" t="s">
        <v>304</v>
      </c>
      <c r="E12" s="23" t="s">
        <v>302</v>
      </c>
      <c r="F12" s="22" t="s">
        <v>301</v>
      </c>
      <c r="G12" s="24" t="s">
        <v>303</v>
      </c>
      <c r="H12" s="23" t="s">
        <v>302</v>
      </c>
      <c r="I12" s="23" t="s">
        <v>302</v>
      </c>
      <c r="J12" s="25" t="s">
        <v>304</v>
      </c>
      <c r="K12" s="25" t="s">
        <v>304</v>
      </c>
      <c r="L12" s="23" t="s">
        <v>302</v>
      </c>
      <c r="M12" s="25" t="s">
        <v>304</v>
      </c>
      <c r="N12" s="25" t="s">
        <v>304</v>
      </c>
    </row>
    <row r="13" spans="1:14" ht="31.5" customHeight="1" x14ac:dyDescent="0.35">
      <c r="A13" s="12" t="s">
        <v>107</v>
      </c>
      <c r="B13" s="25" t="s">
        <v>304</v>
      </c>
      <c r="C13" s="23" t="s">
        <v>302</v>
      </c>
      <c r="D13" s="23" t="s">
        <v>302</v>
      </c>
      <c r="E13" s="23" t="s">
        <v>302</v>
      </c>
      <c r="F13" s="23" t="s">
        <v>302</v>
      </c>
      <c r="G13" s="25" t="s">
        <v>304</v>
      </c>
      <c r="H13" s="25" t="s">
        <v>304</v>
      </c>
      <c r="I13" s="22" t="s">
        <v>301</v>
      </c>
      <c r="J13" s="25" t="s">
        <v>304</v>
      </c>
      <c r="K13" s="23" t="s">
        <v>302</v>
      </c>
      <c r="L13" s="24" t="s">
        <v>303</v>
      </c>
      <c r="M13" s="25" t="s">
        <v>304</v>
      </c>
      <c r="N13" s="23" t="s">
        <v>302</v>
      </c>
    </row>
    <row r="14" spans="1:14" ht="31.5" customHeight="1" x14ac:dyDescent="0.35">
      <c r="A14" s="14" t="s">
        <v>311</v>
      </c>
      <c r="B14" s="25" t="s">
        <v>304</v>
      </c>
      <c r="C14" s="23" t="s">
        <v>302</v>
      </c>
      <c r="D14" s="25" t="s">
        <v>304</v>
      </c>
      <c r="E14" s="23" t="s">
        <v>302</v>
      </c>
      <c r="F14" s="23" t="s">
        <v>302</v>
      </c>
      <c r="G14" s="22" t="s">
        <v>301</v>
      </c>
      <c r="H14" s="23" t="s">
        <v>302</v>
      </c>
      <c r="I14" s="23" t="s">
        <v>302</v>
      </c>
      <c r="J14" s="25" t="s">
        <v>304</v>
      </c>
      <c r="K14" s="23" t="s">
        <v>302</v>
      </c>
      <c r="L14" s="25" t="s">
        <v>304</v>
      </c>
      <c r="M14" s="25" t="s">
        <v>304</v>
      </c>
      <c r="N14" s="23" t="s">
        <v>302</v>
      </c>
    </row>
    <row r="15" spans="1:14" ht="31.5" customHeight="1" x14ac:dyDescent="0.35">
      <c r="A15" s="12" t="s">
        <v>312</v>
      </c>
      <c r="B15" s="25" t="s">
        <v>304</v>
      </c>
      <c r="C15" s="23" t="s">
        <v>302</v>
      </c>
      <c r="D15" s="25" t="s">
        <v>304</v>
      </c>
      <c r="E15" s="23" t="s">
        <v>302</v>
      </c>
      <c r="F15" s="24" t="s">
        <v>303</v>
      </c>
      <c r="G15" s="22" t="s">
        <v>301</v>
      </c>
      <c r="H15" s="23" t="s">
        <v>302</v>
      </c>
      <c r="I15" s="23" t="s">
        <v>302</v>
      </c>
      <c r="J15" s="25" t="s">
        <v>304</v>
      </c>
      <c r="K15" s="23" t="s">
        <v>302</v>
      </c>
      <c r="L15" s="25" t="s">
        <v>304</v>
      </c>
      <c r="M15" s="25" t="s">
        <v>304</v>
      </c>
      <c r="N15" s="25" t="s">
        <v>304</v>
      </c>
    </row>
    <row r="16" spans="1:14" ht="31.5" customHeight="1" x14ac:dyDescent="0.35">
      <c r="A16" s="14" t="s">
        <v>313</v>
      </c>
      <c r="B16" s="25" t="s">
        <v>304</v>
      </c>
      <c r="C16" s="25" t="s">
        <v>304</v>
      </c>
      <c r="D16" s="25" t="s">
        <v>304</v>
      </c>
      <c r="E16" s="23" t="s">
        <v>302</v>
      </c>
      <c r="F16" s="23" t="s">
        <v>302</v>
      </c>
      <c r="G16" s="23" t="s">
        <v>302</v>
      </c>
      <c r="H16" s="22" t="s">
        <v>301</v>
      </c>
      <c r="I16" s="23" t="s">
        <v>302</v>
      </c>
      <c r="J16" s="25" t="s">
        <v>304</v>
      </c>
      <c r="K16" s="25" t="s">
        <v>304</v>
      </c>
      <c r="L16" s="23" t="s">
        <v>302</v>
      </c>
      <c r="M16" s="25" t="s">
        <v>304</v>
      </c>
      <c r="N16" s="25" t="s">
        <v>304</v>
      </c>
    </row>
    <row r="17" spans="1:14" ht="31.5" customHeight="1" x14ac:dyDescent="0.35">
      <c r="A17" s="12" t="s">
        <v>314</v>
      </c>
      <c r="B17" s="25" t="s">
        <v>304</v>
      </c>
      <c r="C17" s="25" t="s">
        <v>304</v>
      </c>
      <c r="D17" s="25" t="s">
        <v>304</v>
      </c>
      <c r="E17" s="23" t="s">
        <v>302</v>
      </c>
      <c r="F17" s="23" t="s">
        <v>302</v>
      </c>
      <c r="G17" s="23" t="s">
        <v>302</v>
      </c>
      <c r="H17" s="22" t="s">
        <v>301</v>
      </c>
      <c r="I17" s="23" t="s">
        <v>302</v>
      </c>
      <c r="J17" s="25" t="s">
        <v>304</v>
      </c>
      <c r="K17" s="25" t="s">
        <v>304</v>
      </c>
      <c r="L17" s="24" t="s">
        <v>303</v>
      </c>
      <c r="M17" s="25" t="s">
        <v>304</v>
      </c>
      <c r="N17" s="25" t="s">
        <v>304</v>
      </c>
    </row>
    <row r="18" spans="1:14" ht="31.5" customHeight="1" x14ac:dyDescent="0.35">
      <c r="A18" s="14" t="s">
        <v>148</v>
      </c>
      <c r="B18" s="25" t="s">
        <v>304</v>
      </c>
      <c r="C18" s="23" t="s">
        <v>302</v>
      </c>
      <c r="D18" s="25" t="s">
        <v>304</v>
      </c>
      <c r="E18" s="23" t="s">
        <v>302</v>
      </c>
      <c r="F18" s="22" t="s">
        <v>301</v>
      </c>
      <c r="G18" s="25" t="s">
        <v>304</v>
      </c>
      <c r="H18" s="25" t="s">
        <v>304</v>
      </c>
      <c r="I18" s="23" t="s">
        <v>302</v>
      </c>
      <c r="J18" s="25" t="s">
        <v>304</v>
      </c>
      <c r="K18" s="23" t="s">
        <v>302</v>
      </c>
      <c r="L18" s="24" t="s">
        <v>303</v>
      </c>
      <c r="M18" s="25" t="s">
        <v>304</v>
      </c>
      <c r="N18" s="23" t="s">
        <v>302</v>
      </c>
    </row>
    <row r="19" spans="1:14" ht="31.5" customHeight="1" x14ac:dyDescent="0.35">
      <c r="A19" s="12" t="s">
        <v>315</v>
      </c>
      <c r="B19" s="25" t="s">
        <v>304</v>
      </c>
      <c r="C19" s="23" t="s">
        <v>302</v>
      </c>
      <c r="D19" s="25" t="s">
        <v>304</v>
      </c>
      <c r="E19" s="23" t="s">
        <v>302</v>
      </c>
      <c r="F19" s="22" t="s">
        <v>301</v>
      </c>
      <c r="G19" s="23" t="s">
        <v>302</v>
      </c>
      <c r="H19" s="23" t="s">
        <v>302</v>
      </c>
      <c r="I19" s="25" t="s">
        <v>304</v>
      </c>
      <c r="J19" s="25" t="s">
        <v>304</v>
      </c>
      <c r="K19" s="25" t="s">
        <v>304</v>
      </c>
      <c r="L19" s="24" t="s">
        <v>303</v>
      </c>
      <c r="M19" s="25" t="s">
        <v>304</v>
      </c>
      <c r="N19" s="25" t="s">
        <v>304</v>
      </c>
    </row>
    <row r="20" spans="1:14" ht="31.5" customHeight="1" x14ac:dyDescent="0.35">
      <c r="A20" s="14" t="s">
        <v>161</v>
      </c>
      <c r="B20" s="25" t="s">
        <v>304</v>
      </c>
      <c r="C20" s="23" t="s">
        <v>302</v>
      </c>
      <c r="D20" s="25" t="s">
        <v>304</v>
      </c>
      <c r="E20" s="23" t="s">
        <v>302</v>
      </c>
      <c r="F20" s="24" t="s">
        <v>303</v>
      </c>
      <c r="G20" s="25" t="s">
        <v>304</v>
      </c>
      <c r="H20" s="23" t="s">
        <v>302</v>
      </c>
      <c r="I20" s="25" t="s">
        <v>304</v>
      </c>
      <c r="J20" s="22" t="s">
        <v>301</v>
      </c>
      <c r="K20" s="23" t="s">
        <v>302</v>
      </c>
      <c r="L20" s="23" t="s">
        <v>302</v>
      </c>
      <c r="M20" s="23" t="s">
        <v>302</v>
      </c>
      <c r="N20" s="25" t="s">
        <v>304</v>
      </c>
    </row>
    <row r="21" spans="1:14" ht="31.5" customHeight="1" x14ac:dyDescent="0.35">
      <c r="A21" s="12" t="s">
        <v>316</v>
      </c>
      <c r="B21" s="25" t="s">
        <v>304</v>
      </c>
      <c r="C21" s="23" t="s">
        <v>302</v>
      </c>
      <c r="D21" s="25" t="s">
        <v>304</v>
      </c>
      <c r="E21" s="23" t="s">
        <v>302</v>
      </c>
      <c r="F21" s="23" t="s">
        <v>302</v>
      </c>
      <c r="G21" s="23" t="s">
        <v>302</v>
      </c>
      <c r="H21" s="23" t="s">
        <v>302</v>
      </c>
      <c r="I21" s="23" t="s">
        <v>302</v>
      </c>
      <c r="J21" s="25" t="s">
        <v>304</v>
      </c>
      <c r="K21" s="23" t="s">
        <v>302</v>
      </c>
      <c r="L21" s="22" t="s">
        <v>301</v>
      </c>
      <c r="M21" s="25" t="s">
        <v>304</v>
      </c>
      <c r="N21" s="25" t="s">
        <v>304</v>
      </c>
    </row>
    <row r="22" spans="1:14" ht="31.5" customHeight="1" x14ac:dyDescent="0.35">
      <c r="A22" s="14" t="s">
        <v>317</v>
      </c>
      <c r="B22" s="25" t="s">
        <v>304</v>
      </c>
      <c r="C22" s="23" t="s">
        <v>302</v>
      </c>
      <c r="D22" s="25" t="s">
        <v>304</v>
      </c>
      <c r="E22" s="23" t="s">
        <v>302</v>
      </c>
      <c r="F22" s="23" t="s">
        <v>302</v>
      </c>
      <c r="G22" s="25" t="s">
        <v>304</v>
      </c>
      <c r="H22" s="23" t="s">
        <v>302</v>
      </c>
      <c r="I22" s="22" t="s">
        <v>301</v>
      </c>
      <c r="J22" s="25" t="s">
        <v>304</v>
      </c>
      <c r="K22" s="25" t="s">
        <v>304</v>
      </c>
      <c r="L22" s="24" t="s">
        <v>303</v>
      </c>
      <c r="M22" s="25" t="s">
        <v>304</v>
      </c>
      <c r="N22" s="23" t="s">
        <v>302</v>
      </c>
    </row>
    <row r="23" spans="1:14" ht="31.5" customHeight="1" x14ac:dyDescent="0.35">
      <c r="A23" s="12" t="s">
        <v>318</v>
      </c>
      <c r="B23" s="25" t="s">
        <v>304</v>
      </c>
      <c r="C23" s="22" t="s">
        <v>301</v>
      </c>
      <c r="D23" s="24" t="s">
        <v>303</v>
      </c>
      <c r="E23" s="23" t="s">
        <v>302</v>
      </c>
      <c r="F23" s="23" t="s">
        <v>302</v>
      </c>
      <c r="G23" s="23" t="s">
        <v>302</v>
      </c>
      <c r="H23" s="23" t="s">
        <v>302</v>
      </c>
      <c r="I23" s="23" t="s">
        <v>302</v>
      </c>
      <c r="J23" s="23" t="s">
        <v>302</v>
      </c>
      <c r="K23" s="24" t="s">
        <v>303</v>
      </c>
      <c r="L23" s="23" t="s">
        <v>302</v>
      </c>
      <c r="M23" s="23" t="s">
        <v>302</v>
      </c>
      <c r="N23" s="25" t="s">
        <v>304</v>
      </c>
    </row>
    <row r="24" spans="1:14" ht="31.5" customHeight="1" x14ac:dyDescent="0.35">
      <c r="A24" s="14" t="s">
        <v>319</v>
      </c>
      <c r="B24" s="22" t="s">
        <v>301</v>
      </c>
      <c r="C24" s="23" t="s">
        <v>302</v>
      </c>
      <c r="D24" s="23" t="s">
        <v>302</v>
      </c>
      <c r="E24" s="25" t="s">
        <v>304</v>
      </c>
      <c r="F24" s="25" t="s">
        <v>304</v>
      </c>
      <c r="G24" s="25" t="s">
        <v>304</v>
      </c>
      <c r="H24" s="25" t="s">
        <v>304</v>
      </c>
      <c r="I24" s="23" t="s">
        <v>302</v>
      </c>
      <c r="J24" s="23" t="s">
        <v>302</v>
      </c>
      <c r="K24" s="24" t="s">
        <v>303</v>
      </c>
      <c r="L24" s="23" t="s">
        <v>302</v>
      </c>
      <c r="M24" s="23" t="s">
        <v>302</v>
      </c>
      <c r="N24" s="25" t="s">
        <v>304</v>
      </c>
    </row>
    <row r="25" spans="1:14" ht="31.5" customHeight="1" x14ac:dyDescent="0.35">
      <c r="A25" s="12" t="s">
        <v>320</v>
      </c>
      <c r="B25" s="25" t="s">
        <v>304</v>
      </c>
      <c r="C25" s="23" t="s">
        <v>302</v>
      </c>
      <c r="D25" s="24" t="s">
        <v>303</v>
      </c>
      <c r="E25" s="23" t="s">
        <v>302</v>
      </c>
      <c r="F25" s="23" t="s">
        <v>302</v>
      </c>
      <c r="G25" s="23" t="s">
        <v>302</v>
      </c>
      <c r="H25" s="22" t="s">
        <v>301</v>
      </c>
      <c r="I25" s="23" t="s">
        <v>302</v>
      </c>
      <c r="J25" s="25" t="s">
        <v>304</v>
      </c>
      <c r="K25" s="25" t="s">
        <v>304</v>
      </c>
      <c r="L25" s="23" t="s">
        <v>302</v>
      </c>
      <c r="M25" s="23" t="s">
        <v>302</v>
      </c>
      <c r="N25" s="25" t="s">
        <v>304</v>
      </c>
    </row>
    <row r="26" spans="1:14" ht="31.5" customHeight="1" x14ac:dyDescent="0.35">
      <c r="A26" s="14" t="s">
        <v>219</v>
      </c>
      <c r="B26" s="25" t="s">
        <v>304</v>
      </c>
      <c r="C26" s="23" t="s">
        <v>302</v>
      </c>
      <c r="D26" s="23" t="s">
        <v>302</v>
      </c>
      <c r="E26" s="25" t="s">
        <v>304</v>
      </c>
      <c r="F26" s="25" t="s">
        <v>304</v>
      </c>
      <c r="G26" s="25" t="s">
        <v>304</v>
      </c>
      <c r="H26" s="25" t="s">
        <v>304</v>
      </c>
      <c r="I26" s="25" t="s">
        <v>304</v>
      </c>
      <c r="J26" s="23" t="s">
        <v>302</v>
      </c>
      <c r="K26" s="23" t="s">
        <v>302</v>
      </c>
      <c r="L26" s="25" t="s">
        <v>304</v>
      </c>
      <c r="M26" s="22" t="s">
        <v>301</v>
      </c>
      <c r="N26" s="25" t="s">
        <v>304</v>
      </c>
    </row>
    <row r="27" spans="1:14" ht="31.5" customHeight="1" x14ac:dyDescent="0.35">
      <c r="A27" s="12" t="s">
        <v>233</v>
      </c>
      <c r="B27" s="25" t="s">
        <v>304</v>
      </c>
      <c r="C27" s="23" t="s">
        <v>302</v>
      </c>
      <c r="D27" s="23" t="s">
        <v>302</v>
      </c>
      <c r="E27" s="23" t="s">
        <v>302</v>
      </c>
      <c r="F27" s="24" t="s">
        <v>303</v>
      </c>
      <c r="G27" s="23" t="s">
        <v>302</v>
      </c>
      <c r="H27" s="22" t="s">
        <v>301</v>
      </c>
      <c r="I27" s="23" t="s">
        <v>302</v>
      </c>
      <c r="J27" s="25" t="s">
        <v>304</v>
      </c>
      <c r="K27" s="23" t="s">
        <v>302</v>
      </c>
      <c r="L27" s="24" t="s">
        <v>303</v>
      </c>
      <c r="M27" s="23" t="s">
        <v>302</v>
      </c>
      <c r="N27" s="25" t="s">
        <v>304</v>
      </c>
    </row>
    <row r="28" spans="1:14" ht="31.5" customHeight="1" x14ac:dyDescent="0.35">
      <c r="A28" s="14" t="s">
        <v>237</v>
      </c>
      <c r="B28" s="25" t="s">
        <v>304</v>
      </c>
      <c r="C28" s="23" t="s">
        <v>302</v>
      </c>
      <c r="D28" s="23" t="s">
        <v>302</v>
      </c>
      <c r="E28" s="23" t="s">
        <v>302</v>
      </c>
      <c r="F28" s="24" t="s">
        <v>303</v>
      </c>
      <c r="G28" s="23" t="s">
        <v>302</v>
      </c>
      <c r="H28" s="23" t="s">
        <v>302</v>
      </c>
      <c r="I28" s="23" t="s">
        <v>302</v>
      </c>
      <c r="J28" s="25" t="s">
        <v>304</v>
      </c>
      <c r="K28" s="25" t="s">
        <v>304</v>
      </c>
      <c r="L28" s="22" t="s">
        <v>301</v>
      </c>
      <c r="M28" s="25" t="s">
        <v>304</v>
      </c>
      <c r="N28" s="25" t="s">
        <v>304</v>
      </c>
    </row>
    <row r="29" spans="1:14" ht="31.5" customHeight="1" x14ac:dyDescent="0.35">
      <c r="A29" s="12" t="s">
        <v>245</v>
      </c>
      <c r="B29" s="25" t="s">
        <v>304</v>
      </c>
      <c r="C29" s="22" t="s">
        <v>301</v>
      </c>
      <c r="D29" s="23" t="s">
        <v>302</v>
      </c>
      <c r="E29" s="25" t="s">
        <v>304</v>
      </c>
      <c r="F29" s="25" t="s">
        <v>304</v>
      </c>
      <c r="G29" s="25" t="s">
        <v>304</v>
      </c>
      <c r="H29" s="25" t="s">
        <v>304</v>
      </c>
      <c r="I29" s="25" t="s">
        <v>304</v>
      </c>
      <c r="J29" s="25" t="s">
        <v>304</v>
      </c>
      <c r="K29" s="23" t="s">
        <v>302</v>
      </c>
      <c r="L29" s="25" t="s">
        <v>304</v>
      </c>
      <c r="M29" s="23" t="s">
        <v>302</v>
      </c>
      <c r="N29" s="25" t="s">
        <v>304</v>
      </c>
    </row>
    <row r="30" spans="1:14" ht="31.5" customHeight="1" x14ac:dyDescent="0.35">
      <c r="A30" s="14" t="s">
        <v>51</v>
      </c>
      <c r="B30" s="22" t="s">
        <v>301</v>
      </c>
      <c r="C30" s="23" t="s">
        <v>302</v>
      </c>
      <c r="D30" s="23" t="s">
        <v>302</v>
      </c>
      <c r="E30" s="23" t="s">
        <v>302</v>
      </c>
      <c r="F30" s="23" t="s">
        <v>302</v>
      </c>
      <c r="G30" s="23" t="s">
        <v>302</v>
      </c>
      <c r="H30" s="23" t="s">
        <v>302</v>
      </c>
      <c r="I30" s="24" t="s">
        <v>303</v>
      </c>
      <c r="J30" s="25" t="s">
        <v>304</v>
      </c>
      <c r="K30" s="25" t="s">
        <v>304</v>
      </c>
      <c r="L30" s="23" t="s">
        <v>302</v>
      </c>
      <c r="M30" s="25" t="s">
        <v>304</v>
      </c>
      <c r="N30" s="24" t="s">
        <v>303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6" customWidth="1"/>
    <col min="3" max="3" width="70" customWidth="1"/>
    <col min="4" max="4" width="24" customWidth="1"/>
    <col min="5" max="5" width="14" customWidth="1"/>
  </cols>
  <sheetData>
    <row r="1" spans="1:5" ht="36" customHeight="1" x14ac:dyDescent="0.35">
      <c r="A1" s="5" t="s">
        <v>321</v>
      </c>
      <c r="B1" s="5"/>
      <c r="C1" s="5"/>
      <c r="D1" s="5"/>
      <c r="E1" s="5"/>
    </row>
    <row r="2" spans="1:5" ht="21.75" customHeight="1" x14ac:dyDescent="0.35">
      <c r="A2" s="4" t="s">
        <v>322</v>
      </c>
      <c r="B2" s="4"/>
      <c r="C2" s="4"/>
      <c r="D2" s="4"/>
      <c r="E2" s="4"/>
    </row>
    <row r="3" spans="1:5" ht="21.75" customHeight="1" x14ac:dyDescent="0.35">
      <c r="D3" s="26" t="s">
        <v>323</v>
      </c>
      <c r="E3" s="27">
        <f>COUNTIF(E5:E46,"Y")/(COUNTA(E5:E46)-COUNTIF(E5:E46,"N/A"))</f>
        <v>0</v>
      </c>
    </row>
    <row r="4" spans="1:5" ht="27.75" customHeight="1" x14ac:dyDescent="0.35">
      <c r="A4" s="10" t="s">
        <v>14</v>
      </c>
      <c r="B4" s="10" t="s">
        <v>13</v>
      </c>
      <c r="C4" s="10" t="s">
        <v>324</v>
      </c>
      <c r="D4" s="10" t="s">
        <v>57</v>
      </c>
      <c r="E4" s="10" t="s">
        <v>325</v>
      </c>
    </row>
    <row r="5" spans="1:5" ht="31.5" customHeight="1" x14ac:dyDescent="0.35">
      <c r="A5" s="11" t="s">
        <v>326</v>
      </c>
      <c r="B5" s="28">
        <v>1</v>
      </c>
      <c r="C5" s="9" t="s">
        <v>327</v>
      </c>
      <c r="D5" s="9" t="s">
        <v>45</v>
      </c>
      <c r="E5" s="28" t="s">
        <v>328</v>
      </c>
    </row>
    <row r="6" spans="1:5" ht="31.5" customHeight="1" x14ac:dyDescent="0.35">
      <c r="A6" s="11" t="s">
        <v>326</v>
      </c>
      <c r="B6" s="29">
        <v>2</v>
      </c>
      <c r="C6" s="8" t="s">
        <v>329</v>
      </c>
      <c r="D6" s="8" t="s">
        <v>21</v>
      </c>
      <c r="E6" s="29" t="s">
        <v>328</v>
      </c>
    </row>
    <row r="7" spans="1:5" ht="31.5" customHeight="1" x14ac:dyDescent="0.35">
      <c r="A7" s="11" t="s">
        <v>326</v>
      </c>
      <c r="B7" s="28">
        <v>3</v>
      </c>
      <c r="C7" s="9" t="s">
        <v>330</v>
      </c>
      <c r="D7" s="9" t="s">
        <v>25</v>
      </c>
      <c r="E7" s="28" t="s">
        <v>328</v>
      </c>
    </row>
    <row r="8" spans="1:5" ht="31.5" customHeight="1" x14ac:dyDescent="0.35">
      <c r="A8" s="11" t="s">
        <v>326</v>
      </c>
      <c r="B8" s="29">
        <v>4</v>
      </c>
      <c r="C8" s="8" t="s">
        <v>331</v>
      </c>
      <c r="D8" s="8" t="s">
        <v>21</v>
      </c>
      <c r="E8" s="29" t="s">
        <v>328</v>
      </c>
    </row>
    <row r="9" spans="1:5" ht="31.5" customHeight="1" x14ac:dyDescent="0.35">
      <c r="A9" s="11" t="s">
        <v>326</v>
      </c>
      <c r="B9" s="28">
        <v>5</v>
      </c>
      <c r="C9" s="9" t="s">
        <v>332</v>
      </c>
      <c r="D9" s="9" t="s">
        <v>211</v>
      </c>
      <c r="E9" s="28" t="s">
        <v>328</v>
      </c>
    </row>
    <row r="10" spans="1:5" ht="31.5" customHeight="1" x14ac:dyDescent="0.35">
      <c r="A10" s="15" t="s">
        <v>333</v>
      </c>
      <c r="B10" s="29">
        <v>6</v>
      </c>
      <c r="C10" s="8" t="s">
        <v>334</v>
      </c>
      <c r="D10" s="8" t="s">
        <v>25</v>
      </c>
      <c r="E10" s="29" t="s">
        <v>328</v>
      </c>
    </row>
    <row r="11" spans="1:5" ht="31.5" customHeight="1" x14ac:dyDescent="0.35">
      <c r="A11" s="15" t="s">
        <v>333</v>
      </c>
      <c r="B11" s="28">
        <v>7</v>
      </c>
      <c r="C11" s="9" t="s">
        <v>335</v>
      </c>
      <c r="D11" s="9" t="s">
        <v>33</v>
      </c>
      <c r="E11" s="28" t="s">
        <v>328</v>
      </c>
    </row>
    <row r="12" spans="1:5" ht="31.5" customHeight="1" x14ac:dyDescent="0.35">
      <c r="A12" s="15" t="s">
        <v>333</v>
      </c>
      <c r="B12" s="29">
        <v>8</v>
      </c>
      <c r="C12" s="8" t="s">
        <v>336</v>
      </c>
      <c r="D12" s="8" t="s">
        <v>25</v>
      </c>
      <c r="E12" s="29" t="s">
        <v>328</v>
      </c>
    </row>
    <row r="13" spans="1:5" ht="31.5" customHeight="1" x14ac:dyDescent="0.35">
      <c r="A13" s="15" t="s">
        <v>333</v>
      </c>
      <c r="B13" s="28">
        <v>9</v>
      </c>
      <c r="C13" s="9" t="s">
        <v>337</v>
      </c>
      <c r="D13" s="9" t="s">
        <v>33</v>
      </c>
      <c r="E13" s="28" t="s">
        <v>328</v>
      </c>
    </row>
    <row r="14" spans="1:5" ht="31.5" customHeight="1" x14ac:dyDescent="0.35">
      <c r="A14" s="15" t="s">
        <v>333</v>
      </c>
      <c r="B14" s="29">
        <v>10</v>
      </c>
      <c r="C14" s="8" t="s">
        <v>338</v>
      </c>
      <c r="D14" s="8" t="s">
        <v>109</v>
      </c>
      <c r="E14" s="29" t="s">
        <v>328</v>
      </c>
    </row>
    <row r="15" spans="1:5" ht="31.5" customHeight="1" x14ac:dyDescent="0.35">
      <c r="A15" s="15" t="s">
        <v>333</v>
      </c>
      <c r="B15" s="28">
        <v>11</v>
      </c>
      <c r="C15" s="9" t="s">
        <v>339</v>
      </c>
      <c r="D15" s="9" t="s">
        <v>272</v>
      </c>
      <c r="E15" s="28" t="s">
        <v>328</v>
      </c>
    </row>
    <row r="16" spans="1:5" ht="31.5" customHeight="1" x14ac:dyDescent="0.35">
      <c r="A16" s="16" t="s">
        <v>340</v>
      </c>
      <c r="B16" s="29">
        <v>12</v>
      </c>
      <c r="C16" s="8" t="s">
        <v>341</v>
      </c>
      <c r="D16" s="8" t="s">
        <v>29</v>
      </c>
      <c r="E16" s="29" t="s">
        <v>328</v>
      </c>
    </row>
    <row r="17" spans="1:5" ht="31.5" customHeight="1" x14ac:dyDescent="0.35">
      <c r="A17" s="16" t="s">
        <v>340</v>
      </c>
      <c r="B17" s="28">
        <v>13</v>
      </c>
      <c r="C17" s="9" t="s">
        <v>342</v>
      </c>
      <c r="D17" s="9" t="s">
        <v>300</v>
      </c>
      <c r="E17" s="28" t="s">
        <v>328</v>
      </c>
    </row>
    <row r="18" spans="1:5" ht="31.5" customHeight="1" x14ac:dyDescent="0.35">
      <c r="A18" s="16" t="s">
        <v>340</v>
      </c>
      <c r="B18" s="29">
        <v>14</v>
      </c>
      <c r="C18" s="8" t="s">
        <v>343</v>
      </c>
      <c r="D18" s="8" t="s">
        <v>33</v>
      </c>
      <c r="E18" s="29" t="s">
        <v>328</v>
      </c>
    </row>
    <row r="19" spans="1:5" ht="31.5" customHeight="1" x14ac:dyDescent="0.35">
      <c r="A19" s="16" t="s">
        <v>340</v>
      </c>
      <c r="B19" s="28">
        <v>15</v>
      </c>
      <c r="C19" s="9" t="s">
        <v>344</v>
      </c>
      <c r="D19" s="9" t="s">
        <v>50</v>
      </c>
      <c r="E19" s="28" t="s">
        <v>328</v>
      </c>
    </row>
    <row r="20" spans="1:5" ht="31.5" customHeight="1" x14ac:dyDescent="0.35">
      <c r="A20" s="16" t="s">
        <v>340</v>
      </c>
      <c r="B20" s="29">
        <v>16</v>
      </c>
      <c r="C20" s="8" t="s">
        <v>345</v>
      </c>
      <c r="D20" s="8" t="s">
        <v>50</v>
      </c>
      <c r="E20" s="29" t="s">
        <v>328</v>
      </c>
    </row>
    <row r="21" spans="1:5" ht="31.5" customHeight="1" x14ac:dyDescent="0.35">
      <c r="A21" s="16" t="s">
        <v>340</v>
      </c>
      <c r="B21" s="28">
        <v>17</v>
      </c>
      <c r="C21" s="9" t="s">
        <v>346</v>
      </c>
      <c r="D21" s="9" t="s">
        <v>25</v>
      </c>
      <c r="E21" s="28" t="s">
        <v>328</v>
      </c>
    </row>
    <row r="22" spans="1:5" ht="31.5" customHeight="1" x14ac:dyDescent="0.35">
      <c r="A22" s="17" t="s">
        <v>347</v>
      </c>
      <c r="B22" s="29">
        <v>18</v>
      </c>
      <c r="C22" s="8" t="s">
        <v>348</v>
      </c>
      <c r="D22" s="8" t="s">
        <v>33</v>
      </c>
      <c r="E22" s="29" t="s">
        <v>328</v>
      </c>
    </row>
    <row r="23" spans="1:5" ht="31.5" customHeight="1" x14ac:dyDescent="0.35">
      <c r="A23" s="17" t="s">
        <v>347</v>
      </c>
      <c r="B23" s="28">
        <v>19</v>
      </c>
      <c r="C23" s="9" t="s">
        <v>349</v>
      </c>
      <c r="D23" s="9" t="s">
        <v>33</v>
      </c>
      <c r="E23" s="28" t="s">
        <v>328</v>
      </c>
    </row>
    <row r="24" spans="1:5" ht="31.5" customHeight="1" x14ac:dyDescent="0.35">
      <c r="A24" s="17" t="s">
        <v>347</v>
      </c>
      <c r="B24" s="29">
        <v>20</v>
      </c>
      <c r="C24" s="8" t="s">
        <v>350</v>
      </c>
      <c r="D24" s="8" t="s">
        <v>33</v>
      </c>
      <c r="E24" s="29" t="s">
        <v>328</v>
      </c>
    </row>
    <row r="25" spans="1:5" ht="31.5" customHeight="1" x14ac:dyDescent="0.35">
      <c r="A25" s="17" t="s">
        <v>347</v>
      </c>
      <c r="B25" s="28">
        <v>21</v>
      </c>
      <c r="C25" s="9" t="s">
        <v>351</v>
      </c>
      <c r="D25" s="9" t="s">
        <v>33</v>
      </c>
      <c r="E25" s="28" t="s">
        <v>328</v>
      </c>
    </row>
    <row r="26" spans="1:5" ht="31.5" customHeight="1" x14ac:dyDescent="0.35">
      <c r="A26" s="17" t="s">
        <v>347</v>
      </c>
      <c r="B26" s="29">
        <v>22</v>
      </c>
      <c r="C26" s="8" t="s">
        <v>352</v>
      </c>
      <c r="D26" s="8" t="s">
        <v>37</v>
      </c>
      <c r="E26" s="29" t="s">
        <v>328</v>
      </c>
    </row>
    <row r="27" spans="1:5" ht="31.5" customHeight="1" x14ac:dyDescent="0.35">
      <c r="A27" s="17" t="s">
        <v>347</v>
      </c>
      <c r="B27" s="28">
        <v>23</v>
      </c>
      <c r="C27" s="9" t="s">
        <v>353</v>
      </c>
      <c r="D27" s="9" t="s">
        <v>45</v>
      </c>
      <c r="E27" s="28" t="s">
        <v>328</v>
      </c>
    </row>
    <row r="28" spans="1:5" ht="31.5" customHeight="1" x14ac:dyDescent="0.35">
      <c r="A28" s="18" t="s">
        <v>354</v>
      </c>
      <c r="B28" s="29">
        <v>24</v>
      </c>
      <c r="C28" s="8" t="s">
        <v>355</v>
      </c>
      <c r="D28" s="8" t="s">
        <v>37</v>
      </c>
      <c r="E28" s="29" t="s">
        <v>328</v>
      </c>
    </row>
    <row r="29" spans="1:5" ht="31.5" customHeight="1" x14ac:dyDescent="0.35">
      <c r="A29" s="18" t="s">
        <v>354</v>
      </c>
      <c r="B29" s="28">
        <v>25</v>
      </c>
      <c r="C29" s="9" t="s">
        <v>356</v>
      </c>
      <c r="D29" s="9" t="s">
        <v>109</v>
      </c>
      <c r="E29" s="28" t="s">
        <v>328</v>
      </c>
    </row>
    <row r="30" spans="1:5" ht="31.5" customHeight="1" x14ac:dyDescent="0.35">
      <c r="A30" s="18" t="s">
        <v>354</v>
      </c>
      <c r="B30" s="29">
        <v>26</v>
      </c>
      <c r="C30" s="8" t="s">
        <v>357</v>
      </c>
      <c r="D30" s="8" t="s">
        <v>37</v>
      </c>
      <c r="E30" s="29" t="s">
        <v>328</v>
      </c>
    </row>
    <row r="31" spans="1:5" ht="31.5" customHeight="1" x14ac:dyDescent="0.35">
      <c r="A31" s="18" t="s">
        <v>354</v>
      </c>
      <c r="B31" s="28">
        <v>27</v>
      </c>
      <c r="C31" s="9" t="s">
        <v>358</v>
      </c>
      <c r="D31" s="9" t="s">
        <v>33</v>
      </c>
      <c r="E31" s="28" t="s">
        <v>328</v>
      </c>
    </row>
    <row r="32" spans="1:5" ht="31.5" customHeight="1" x14ac:dyDescent="0.35">
      <c r="A32" s="18" t="s">
        <v>354</v>
      </c>
      <c r="B32" s="29">
        <v>28</v>
      </c>
      <c r="C32" s="8" t="s">
        <v>359</v>
      </c>
      <c r="D32" s="8" t="s">
        <v>283</v>
      </c>
      <c r="E32" s="29" t="s">
        <v>328</v>
      </c>
    </row>
    <row r="33" spans="1:5" ht="31.5" customHeight="1" x14ac:dyDescent="0.35">
      <c r="A33" s="19" t="s">
        <v>195</v>
      </c>
      <c r="B33" s="28">
        <v>29</v>
      </c>
      <c r="C33" s="9" t="s">
        <v>360</v>
      </c>
      <c r="D33" s="9" t="s">
        <v>41</v>
      </c>
      <c r="E33" s="28" t="s">
        <v>328</v>
      </c>
    </row>
    <row r="34" spans="1:5" ht="31.5" customHeight="1" x14ac:dyDescent="0.35">
      <c r="A34" s="19" t="s">
        <v>195</v>
      </c>
      <c r="B34" s="29">
        <v>30</v>
      </c>
      <c r="C34" s="8" t="s">
        <v>361</v>
      </c>
      <c r="D34" s="8" t="s">
        <v>21</v>
      </c>
      <c r="E34" s="29" t="s">
        <v>328</v>
      </c>
    </row>
    <row r="35" spans="1:5" ht="31.5" customHeight="1" x14ac:dyDescent="0.35">
      <c r="A35" s="19" t="s">
        <v>195</v>
      </c>
      <c r="B35" s="28">
        <v>31</v>
      </c>
      <c r="C35" s="9" t="s">
        <v>362</v>
      </c>
      <c r="D35" s="9" t="s">
        <v>41</v>
      </c>
      <c r="E35" s="28" t="s">
        <v>328</v>
      </c>
    </row>
    <row r="36" spans="1:5" ht="31.5" customHeight="1" x14ac:dyDescent="0.35">
      <c r="A36" s="19" t="s">
        <v>195</v>
      </c>
      <c r="B36" s="29">
        <v>32</v>
      </c>
      <c r="C36" s="8" t="s">
        <v>363</v>
      </c>
      <c r="D36" s="8" t="s">
        <v>211</v>
      </c>
      <c r="E36" s="29" t="s">
        <v>328</v>
      </c>
    </row>
    <row r="37" spans="1:5" ht="31.5" customHeight="1" x14ac:dyDescent="0.35">
      <c r="A37" s="20" t="s">
        <v>364</v>
      </c>
      <c r="B37" s="28">
        <v>33</v>
      </c>
      <c r="C37" s="9" t="s">
        <v>365</v>
      </c>
      <c r="D37" s="9" t="s">
        <v>50</v>
      </c>
      <c r="E37" s="28" t="s">
        <v>328</v>
      </c>
    </row>
    <row r="38" spans="1:5" ht="31.5" customHeight="1" x14ac:dyDescent="0.35">
      <c r="A38" s="20" t="s">
        <v>364</v>
      </c>
      <c r="B38" s="29">
        <v>34</v>
      </c>
      <c r="C38" s="8" t="s">
        <v>366</v>
      </c>
      <c r="D38" s="8" t="s">
        <v>299</v>
      </c>
      <c r="E38" s="29" t="s">
        <v>328</v>
      </c>
    </row>
    <row r="39" spans="1:5" ht="31.5" customHeight="1" x14ac:dyDescent="0.35">
      <c r="A39" s="20" t="s">
        <v>364</v>
      </c>
      <c r="B39" s="28">
        <v>35</v>
      </c>
      <c r="C39" s="9" t="s">
        <v>367</v>
      </c>
      <c r="D39" s="9" t="s">
        <v>299</v>
      </c>
      <c r="E39" s="28" t="s">
        <v>328</v>
      </c>
    </row>
    <row r="40" spans="1:5" ht="31.5" customHeight="1" x14ac:dyDescent="0.35">
      <c r="A40" s="20" t="s">
        <v>364</v>
      </c>
      <c r="B40" s="29">
        <v>36</v>
      </c>
      <c r="C40" s="8" t="s">
        <v>368</v>
      </c>
      <c r="D40" s="8" t="s">
        <v>45</v>
      </c>
      <c r="E40" s="29" t="s">
        <v>328</v>
      </c>
    </row>
    <row r="41" spans="1:5" ht="31.5" customHeight="1" x14ac:dyDescent="0.35">
      <c r="A41" s="21" t="s">
        <v>369</v>
      </c>
      <c r="B41" s="28">
        <v>37</v>
      </c>
      <c r="C41" s="9" t="s">
        <v>370</v>
      </c>
      <c r="D41" s="9" t="s">
        <v>50</v>
      </c>
      <c r="E41" s="28" t="s">
        <v>328</v>
      </c>
    </row>
    <row r="42" spans="1:5" ht="31.5" customHeight="1" x14ac:dyDescent="0.35">
      <c r="A42" s="21" t="s">
        <v>369</v>
      </c>
      <c r="B42" s="29">
        <v>38</v>
      </c>
      <c r="C42" s="8" t="s">
        <v>371</v>
      </c>
      <c r="D42" s="8" t="s">
        <v>37</v>
      </c>
      <c r="E42" s="29" t="s">
        <v>328</v>
      </c>
    </row>
    <row r="43" spans="1:5" ht="31.5" customHeight="1" x14ac:dyDescent="0.35">
      <c r="A43" s="21" t="s">
        <v>369</v>
      </c>
      <c r="B43" s="28">
        <v>39</v>
      </c>
      <c r="C43" s="9" t="s">
        <v>372</v>
      </c>
      <c r="D43" s="9" t="s">
        <v>33</v>
      </c>
      <c r="E43" s="28" t="s">
        <v>328</v>
      </c>
    </row>
    <row r="44" spans="1:5" ht="31.5" customHeight="1" x14ac:dyDescent="0.35">
      <c r="A44" s="21" t="s">
        <v>369</v>
      </c>
      <c r="B44" s="29">
        <v>40</v>
      </c>
      <c r="C44" s="8" t="s">
        <v>373</v>
      </c>
      <c r="D44" s="8" t="s">
        <v>21</v>
      </c>
      <c r="E44" s="29" t="s">
        <v>328</v>
      </c>
    </row>
    <row r="45" spans="1:5" ht="31.5" customHeight="1" x14ac:dyDescent="0.35">
      <c r="A45" s="21" t="s">
        <v>369</v>
      </c>
      <c r="B45" s="28">
        <v>41</v>
      </c>
      <c r="C45" s="9" t="s">
        <v>374</v>
      </c>
      <c r="D45" s="9" t="s">
        <v>109</v>
      </c>
      <c r="E45" s="28" t="s">
        <v>328</v>
      </c>
    </row>
    <row r="46" spans="1:5" ht="31.5" customHeight="1" x14ac:dyDescent="0.35">
      <c r="A46" s="21" t="s">
        <v>369</v>
      </c>
      <c r="B46" s="29">
        <v>42</v>
      </c>
      <c r="C46" s="8" t="s">
        <v>375</v>
      </c>
      <c r="D46" s="8" t="s">
        <v>21</v>
      </c>
      <c r="E46" s="29" t="s">
        <v>328</v>
      </c>
    </row>
  </sheetData>
  <mergeCells count="2">
    <mergeCell ref="A1:E1"/>
    <mergeCell ref="A2:E2"/>
  </mergeCells>
  <conditionalFormatting sqref="E5:E46">
    <cfRule type="cellIs" dxfId="5" priority="2" operator="equal">
      <formula>"Y"</formula>
    </cfRule>
    <cfRule type="cellIs" dxfId="4" priority="3" operator="equal">
      <formula>"N"</formula>
    </cfRule>
    <cfRule type="cellIs" dxfId="3" priority="4" operator="equal">
      <formula>"N/A"</formula>
    </cfRule>
  </conditionalFormatting>
  <dataValidations count="1">
    <dataValidation type="list" allowBlank="1" sqref="E5:E46" xr:uid="{00000000-0002-0000-0400-000000000000}">
      <formula1>"Y,N,N/A"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50" customWidth="1"/>
    <col min="3" max="3" width="18" customWidth="1"/>
    <col min="4" max="4" width="13" customWidth="1"/>
    <col min="5" max="5" width="11" customWidth="1"/>
    <col min="6" max="6" width="9" customWidth="1"/>
    <col min="7" max="7" width="60" customWidth="1"/>
    <col min="8" max="8" width="22" customWidth="1"/>
    <col min="9" max="9" width="13" customWidth="1"/>
  </cols>
  <sheetData>
    <row r="1" spans="1:9" ht="36" customHeight="1" x14ac:dyDescent="0.35">
      <c r="A1" s="5" t="s">
        <v>376</v>
      </c>
      <c r="B1" s="5"/>
      <c r="C1" s="5"/>
      <c r="D1" s="5"/>
      <c r="E1" s="5"/>
      <c r="F1" s="5"/>
      <c r="G1" s="5"/>
      <c r="H1" s="5"/>
      <c r="I1" s="5"/>
    </row>
    <row r="2" spans="1:9" ht="21.75" customHeight="1" x14ac:dyDescent="0.35">
      <c r="A2" s="4" t="s">
        <v>377</v>
      </c>
      <c r="B2" s="4"/>
      <c r="C2" s="4"/>
      <c r="D2" s="4"/>
      <c r="E2" s="4"/>
      <c r="F2" s="4"/>
      <c r="G2" s="4"/>
      <c r="H2" s="4"/>
      <c r="I2" s="4"/>
    </row>
    <row r="4" spans="1:9" ht="27.75" customHeight="1" x14ac:dyDescent="0.35">
      <c r="A4" s="10" t="s">
        <v>378</v>
      </c>
      <c r="B4" s="10" t="s">
        <v>379</v>
      </c>
      <c r="C4" s="10" t="s">
        <v>380</v>
      </c>
      <c r="D4" s="10" t="s">
        <v>381</v>
      </c>
      <c r="E4" s="10" t="s">
        <v>382</v>
      </c>
      <c r="F4" s="10" t="s">
        <v>383</v>
      </c>
      <c r="G4" s="10" t="s">
        <v>384</v>
      </c>
      <c r="H4" s="10" t="s">
        <v>385</v>
      </c>
      <c r="I4" s="10" t="s">
        <v>63</v>
      </c>
    </row>
    <row r="5" spans="1:9" ht="31.5" customHeight="1" x14ac:dyDescent="0.35">
      <c r="A5" s="28" t="s">
        <v>386</v>
      </c>
      <c r="B5" s="9" t="s">
        <v>387</v>
      </c>
      <c r="C5" s="9" t="s">
        <v>388</v>
      </c>
      <c r="D5" s="28">
        <v>4</v>
      </c>
      <c r="E5" s="28">
        <v>5</v>
      </c>
      <c r="F5" s="28">
        <f t="shared" ref="F5:F16" si="0">D5*E5</f>
        <v>20</v>
      </c>
      <c r="G5" s="9" t="s">
        <v>389</v>
      </c>
      <c r="H5" s="9" t="s">
        <v>37</v>
      </c>
      <c r="I5" s="28" t="s">
        <v>390</v>
      </c>
    </row>
    <row r="6" spans="1:9" ht="31.5" customHeight="1" x14ac:dyDescent="0.35">
      <c r="A6" s="29" t="s">
        <v>391</v>
      </c>
      <c r="B6" s="8" t="s">
        <v>392</v>
      </c>
      <c r="C6" s="8" t="s">
        <v>393</v>
      </c>
      <c r="D6" s="29">
        <v>4</v>
      </c>
      <c r="E6" s="29">
        <v>5</v>
      </c>
      <c r="F6" s="29">
        <f t="shared" si="0"/>
        <v>20</v>
      </c>
      <c r="G6" s="8" t="s">
        <v>394</v>
      </c>
      <c r="H6" s="8" t="s">
        <v>109</v>
      </c>
      <c r="I6" s="29" t="s">
        <v>390</v>
      </c>
    </row>
    <row r="7" spans="1:9" ht="31.5" customHeight="1" x14ac:dyDescent="0.35">
      <c r="A7" s="28" t="s">
        <v>395</v>
      </c>
      <c r="B7" s="9" t="s">
        <v>396</v>
      </c>
      <c r="C7" s="9" t="s">
        <v>397</v>
      </c>
      <c r="D7" s="28">
        <v>3</v>
      </c>
      <c r="E7" s="28">
        <v>5</v>
      </c>
      <c r="F7" s="28">
        <f t="shared" si="0"/>
        <v>15</v>
      </c>
      <c r="G7" s="9" t="s">
        <v>398</v>
      </c>
      <c r="H7" s="9" t="s">
        <v>109</v>
      </c>
      <c r="I7" s="28" t="s">
        <v>390</v>
      </c>
    </row>
    <row r="8" spans="1:9" ht="31.5" customHeight="1" x14ac:dyDescent="0.35">
      <c r="A8" s="29" t="s">
        <v>399</v>
      </c>
      <c r="B8" s="8" t="s">
        <v>400</v>
      </c>
      <c r="C8" s="8" t="s">
        <v>401</v>
      </c>
      <c r="D8" s="29">
        <v>4</v>
      </c>
      <c r="E8" s="29">
        <v>4</v>
      </c>
      <c r="F8" s="29">
        <f t="shared" si="0"/>
        <v>16</v>
      </c>
      <c r="G8" s="8" t="s">
        <v>402</v>
      </c>
      <c r="H8" s="8" t="s">
        <v>50</v>
      </c>
      <c r="I8" s="29" t="s">
        <v>390</v>
      </c>
    </row>
    <row r="9" spans="1:9" ht="31.5" customHeight="1" x14ac:dyDescent="0.35">
      <c r="A9" s="28" t="s">
        <v>403</v>
      </c>
      <c r="B9" s="9" t="s">
        <v>404</v>
      </c>
      <c r="C9" s="9" t="s">
        <v>405</v>
      </c>
      <c r="D9" s="28">
        <v>3</v>
      </c>
      <c r="E9" s="28">
        <v>4</v>
      </c>
      <c r="F9" s="28">
        <f t="shared" si="0"/>
        <v>12</v>
      </c>
      <c r="G9" s="9" t="s">
        <v>406</v>
      </c>
      <c r="H9" s="9" t="s">
        <v>33</v>
      </c>
      <c r="I9" s="28" t="s">
        <v>390</v>
      </c>
    </row>
    <row r="10" spans="1:9" ht="31.5" customHeight="1" x14ac:dyDescent="0.35">
      <c r="A10" s="29" t="s">
        <v>407</v>
      </c>
      <c r="B10" s="8" t="s">
        <v>408</v>
      </c>
      <c r="C10" s="8" t="s">
        <v>409</v>
      </c>
      <c r="D10" s="29">
        <v>4</v>
      </c>
      <c r="E10" s="29">
        <v>4</v>
      </c>
      <c r="F10" s="29">
        <f t="shared" si="0"/>
        <v>16</v>
      </c>
      <c r="G10" s="8" t="s">
        <v>410</v>
      </c>
      <c r="H10" s="8" t="s">
        <v>29</v>
      </c>
      <c r="I10" s="29" t="s">
        <v>390</v>
      </c>
    </row>
    <row r="11" spans="1:9" ht="31.5" customHeight="1" x14ac:dyDescent="0.35">
      <c r="A11" s="28" t="s">
        <v>411</v>
      </c>
      <c r="B11" s="9" t="s">
        <v>412</v>
      </c>
      <c r="C11" s="9" t="s">
        <v>413</v>
      </c>
      <c r="D11" s="28">
        <v>3</v>
      </c>
      <c r="E11" s="28">
        <v>5</v>
      </c>
      <c r="F11" s="28">
        <f t="shared" si="0"/>
        <v>15</v>
      </c>
      <c r="G11" s="9" t="s">
        <v>414</v>
      </c>
      <c r="H11" s="9" t="s">
        <v>300</v>
      </c>
      <c r="I11" s="28" t="s">
        <v>390</v>
      </c>
    </row>
    <row r="12" spans="1:9" ht="31.5" customHeight="1" x14ac:dyDescent="0.35">
      <c r="A12" s="29" t="s">
        <v>415</v>
      </c>
      <c r="B12" s="8" t="s">
        <v>416</v>
      </c>
      <c r="C12" s="8" t="s">
        <v>417</v>
      </c>
      <c r="D12" s="29">
        <v>3</v>
      </c>
      <c r="E12" s="29">
        <v>4</v>
      </c>
      <c r="F12" s="29">
        <f t="shared" si="0"/>
        <v>12</v>
      </c>
      <c r="G12" s="8" t="s">
        <v>418</v>
      </c>
      <c r="H12" s="8" t="s">
        <v>299</v>
      </c>
      <c r="I12" s="29" t="s">
        <v>390</v>
      </c>
    </row>
    <row r="13" spans="1:9" ht="31.5" customHeight="1" x14ac:dyDescent="0.35">
      <c r="A13" s="28" t="s">
        <v>419</v>
      </c>
      <c r="B13" s="9" t="s">
        <v>420</v>
      </c>
      <c r="C13" s="9" t="s">
        <v>421</v>
      </c>
      <c r="D13" s="28">
        <v>3</v>
      </c>
      <c r="E13" s="28">
        <v>3</v>
      </c>
      <c r="F13" s="28">
        <f t="shared" si="0"/>
        <v>9</v>
      </c>
      <c r="G13" s="9" t="s">
        <v>422</v>
      </c>
      <c r="H13" s="9" t="s">
        <v>25</v>
      </c>
      <c r="I13" s="28" t="s">
        <v>390</v>
      </c>
    </row>
    <row r="14" spans="1:9" ht="31.5" customHeight="1" x14ac:dyDescent="0.35">
      <c r="A14" s="29" t="s">
        <v>423</v>
      </c>
      <c r="B14" s="8" t="s">
        <v>424</v>
      </c>
      <c r="C14" s="8" t="s">
        <v>425</v>
      </c>
      <c r="D14" s="29">
        <v>4</v>
      </c>
      <c r="E14" s="29">
        <v>3</v>
      </c>
      <c r="F14" s="29">
        <f t="shared" si="0"/>
        <v>12</v>
      </c>
      <c r="G14" s="8" t="s">
        <v>426</v>
      </c>
      <c r="H14" s="8" t="s">
        <v>37</v>
      </c>
      <c r="I14" s="29" t="s">
        <v>390</v>
      </c>
    </row>
    <row r="15" spans="1:9" ht="31.5" customHeight="1" x14ac:dyDescent="0.35">
      <c r="A15" s="28" t="s">
        <v>427</v>
      </c>
      <c r="B15" s="9" t="s">
        <v>428</v>
      </c>
      <c r="C15" s="9" t="s">
        <v>429</v>
      </c>
      <c r="D15" s="28">
        <v>2</v>
      </c>
      <c r="E15" s="28">
        <v>5</v>
      </c>
      <c r="F15" s="28">
        <f t="shared" si="0"/>
        <v>10</v>
      </c>
      <c r="G15" s="9" t="s">
        <v>430</v>
      </c>
      <c r="H15" s="9" t="s">
        <v>211</v>
      </c>
      <c r="I15" s="28" t="s">
        <v>390</v>
      </c>
    </row>
    <row r="16" spans="1:9" ht="31.5" customHeight="1" x14ac:dyDescent="0.35">
      <c r="A16" s="29" t="s">
        <v>431</v>
      </c>
      <c r="B16" s="8" t="s">
        <v>432</v>
      </c>
      <c r="C16" s="8" t="s">
        <v>433</v>
      </c>
      <c r="D16" s="29">
        <v>4</v>
      </c>
      <c r="E16" s="29">
        <v>3</v>
      </c>
      <c r="F16" s="29">
        <f t="shared" si="0"/>
        <v>12</v>
      </c>
      <c r="G16" s="8" t="s">
        <v>434</v>
      </c>
      <c r="H16" s="8" t="s">
        <v>45</v>
      </c>
      <c r="I16" s="29" t="s">
        <v>390</v>
      </c>
    </row>
  </sheetData>
  <mergeCells count="2">
    <mergeCell ref="A1:I1"/>
    <mergeCell ref="A2:I2"/>
  </mergeCells>
  <conditionalFormatting sqref="F5:F16">
    <cfRule type="colorScale" priority="2">
      <colorScale>
        <cfvo type="num" val="1"/>
        <cfvo type="num" val="12"/>
        <cfvo type="num" val="25"/>
        <color rgb="FF86EFAC"/>
        <color rgb="FFFDE68A"/>
        <color rgb="FFFCA5A5"/>
      </colorScale>
    </cfRule>
  </conditionalFormatting>
  <dataValidations count="2">
    <dataValidation type="list" allowBlank="1" sqref="I5:I16" xr:uid="{00000000-0002-0000-0500-000000000000}">
      <formula1>"Open,Mitigating,Closed,Accepted"</formula1>
      <formula2>0</formula2>
    </dataValidation>
    <dataValidation type="list" allowBlank="1" sqref="D5:E16" xr:uid="{00000000-0002-0000-05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38" customWidth="1"/>
    <col min="3" max="5" width="16" customWidth="1"/>
    <col min="6" max="6" width="30" customWidth="1"/>
  </cols>
  <sheetData>
    <row r="1" spans="1:6" ht="36" customHeight="1" x14ac:dyDescent="0.35">
      <c r="A1" s="5" t="s">
        <v>435</v>
      </c>
      <c r="B1" s="5"/>
      <c r="C1" s="5"/>
      <c r="D1" s="5"/>
      <c r="E1" s="5"/>
      <c r="F1" s="5"/>
    </row>
    <row r="2" spans="1:6" ht="21.75" customHeight="1" x14ac:dyDescent="0.35">
      <c r="A2" s="4" t="s">
        <v>436</v>
      </c>
      <c r="B2" s="4"/>
      <c r="C2" s="4"/>
      <c r="D2" s="4"/>
      <c r="E2" s="4"/>
      <c r="F2" s="4"/>
    </row>
    <row r="4" spans="1:6" ht="21.75" customHeight="1" x14ac:dyDescent="0.35">
      <c r="A4" s="30" t="s">
        <v>437</v>
      </c>
      <c r="B4" s="28"/>
    </row>
    <row r="5" spans="1:6" ht="21.75" customHeight="1" x14ac:dyDescent="0.35">
      <c r="A5" s="30" t="s">
        <v>438</v>
      </c>
      <c r="B5" s="28"/>
    </row>
    <row r="6" spans="1:6" ht="21.75" customHeight="1" x14ac:dyDescent="0.35">
      <c r="A6" s="30" t="s">
        <v>439</v>
      </c>
      <c r="B6" s="28" t="s">
        <v>440</v>
      </c>
    </row>
    <row r="7" spans="1:6" ht="21.75" customHeight="1" x14ac:dyDescent="0.35">
      <c r="A7" s="30" t="s">
        <v>441</v>
      </c>
      <c r="B7" s="28" t="s">
        <v>440</v>
      </c>
    </row>
    <row r="8" spans="1:6" ht="21.75" customHeight="1" x14ac:dyDescent="0.35">
      <c r="A8" s="30" t="s">
        <v>442</v>
      </c>
      <c r="B8" s="28" t="s">
        <v>440</v>
      </c>
    </row>
    <row r="9" spans="1:6" ht="21.75" customHeight="1" x14ac:dyDescent="0.35">
      <c r="A9" s="30" t="s">
        <v>443</v>
      </c>
      <c r="B9" s="28" t="s">
        <v>440</v>
      </c>
    </row>
    <row r="10" spans="1:6" ht="21.75" customHeight="1" x14ac:dyDescent="0.35">
      <c r="A10" s="30" t="s">
        <v>444</v>
      </c>
      <c r="B10" s="28" t="s">
        <v>445</v>
      </c>
    </row>
    <row r="11" spans="1:6" ht="21.75" customHeight="1" x14ac:dyDescent="0.35">
      <c r="A11" s="30" t="s">
        <v>446</v>
      </c>
      <c r="B11" s="28" t="s">
        <v>440</v>
      </c>
    </row>
    <row r="13" spans="1:6" ht="25.5" customHeight="1" x14ac:dyDescent="0.35">
      <c r="A13" s="1" t="s">
        <v>447</v>
      </c>
      <c r="B13" s="1"/>
      <c r="C13" s="1"/>
      <c r="D13" s="1"/>
      <c r="E13" s="1"/>
      <c r="F13" s="1"/>
    </row>
    <row r="14" spans="1:6" ht="27.75" customHeight="1" x14ac:dyDescent="0.35">
      <c r="A14" s="10" t="s">
        <v>13</v>
      </c>
      <c r="B14" s="10" t="s">
        <v>448</v>
      </c>
      <c r="C14" s="10" t="s">
        <v>449</v>
      </c>
      <c r="D14" s="10"/>
      <c r="E14" s="10"/>
      <c r="F14" s="10"/>
    </row>
    <row r="15" spans="1:6" ht="31.5" customHeight="1" x14ac:dyDescent="0.35">
      <c r="A15" s="9">
        <v>1</v>
      </c>
      <c r="B15" s="9" t="s">
        <v>450</v>
      </c>
      <c r="C15" s="9" t="s">
        <v>451</v>
      </c>
      <c r="D15" s="9"/>
      <c r="E15" s="9"/>
      <c r="F15" s="9"/>
    </row>
    <row r="16" spans="1:6" ht="31.5" customHeight="1" x14ac:dyDescent="0.35">
      <c r="A16" s="8"/>
      <c r="B16" s="8"/>
      <c r="C16" s="8"/>
      <c r="D16" s="8"/>
      <c r="E16" s="8"/>
      <c r="F16" s="8"/>
    </row>
    <row r="17" spans="1:6" ht="31.5" customHeight="1" x14ac:dyDescent="0.35">
      <c r="A17" s="9"/>
      <c r="B17" s="9"/>
      <c r="C17" s="9"/>
      <c r="D17" s="9"/>
      <c r="E17" s="9"/>
      <c r="F17" s="9"/>
    </row>
    <row r="18" spans="1:6" ht="31.5" customHeight="1" x14ac:dyDescent="0.35">
      <c r="A18" s="8"/>
      <c r="B18" s="8"/>
      <c r="C18" s="8"/>
      <c r="D18" s="8"/>
      <c r="E18" s="8"/>
      <c r="F18" s="8"/>
    </row>
    <row r="20" spans="1:6" ht="25.5" customHeight="1" x14ac:dyDescent="0.35">
      <c r="A20" s="1" t="s">
        <v>452</v>
      </c>
      <c r="B20" s="1"/>
      <c r="C20" s="1"/>
      <c r="D20" s="1"/>
      <c r="E20" s="1"/>
      <c r="F20" s="1"/>
    </row>
    <row r="21" spans="1:6" ht="27.75" customHeight="1" x14ac:dyDescent="0.35">
      <c r="A21" s="10" t="s">
        <v>453</v>
      </c>
      <c r="B21" s="10" t="s">
        <v>454</v>
      </c>
      <c r="C21" s="10" t="s">
        <v>455</v>
      </c>
      <c r="D21" s="10" t="s">
        <v>456</v>
      </c>
      <c r="E21" s="10"/>
      <c r="F21" s="10"/>
    </row>
    <row r="22" spans="1:6" ht="31.5" customHeight="1" x14ac:dyDescent="0.35">
      <c r="A22" s="8" t="s">
        <v>457</v>
      </c>
      <c r="B22" s="8" t="s">
        <v>458</v>
      </c>
      <c r="C22" s="8" t="s">
        <v>459</v>
      </c>
      <c r="D22" s="8" t="s">
        <v>460</v>
      </c>
      <c r="E22" s="8"/>
      <c r="F22" s="8"/>
    </row>
    <row r="23" spans="1:6" ht="31.5" customHeight="1" x14ac:dyDescent="0.35">
      <c r="A23" s="9"/>
      <c r="B23" s="9"/>
      <c r="C23" s="9"/>
      <c r="D23" s="9"/>
      <c r="E23" s="9"/>
      <c r="F23" s="9"/>
    </row>
    <row r="24" spans="1:6" ht="31.5" customHeight="1" x14ac:dyDescent="0.35">
      <c r="A24" s="8"/>
      <c r="B24" s="8"/>
      <c r="C24" s="8"/>
      <c r="D24" s="8"/>
      <c r="E24" s="8"/>
      <c r="F24" s="8"/>
    </row>
    <row r="25" spans="1:6" ht="31.5" customHeight="1" x14ac:dyDescent="0.35">
      <c r="A25" s="9"/>
      <c r="B25" s="9"/>
      <c r="C25" s="9"/>
      <c r="D25" s="9"/>
      <c r="E25" s="9"/>
      <c r="F25" s="9"/>
    </row>
    <row r="27" spans="1:6" ht="25.5" customHeight="1" x14ac:dyDescent="0.35">
      <c r="A27" s="1" t="s">
        <v>461</v>
      </c>
      <c r="B27" s="1"/>
      <c r="C27" s="1"/>
      <c r="D27" s="1"/>
      <c r="E27" s="1"/>
      <c r="F27" s="1"/>
    </row>
    <row r="28" spans="1:6" ht="27.75" customHeight="1" x14ac:dyDescent="0.35">
      <c r="A28" s="10" t="s">
        <v>453</v>
      </c>
      <c r="B28" s="10" t="s">
        <v>462</v>
      </c>
      <c r="C28" s="10" t="s">
        <v>385</v>
      </c>
      <c r="D28" s="10" t="s">
        <v>463</v>
      </c>
      <c r="E28" s="10"/>
      <c r="F28" s="10"/>
    </row>
    <row r="29" spans="1:6" ht="31.5" customHeight="1" x14ac:dyDescent="0.35">
      <c r="A29" s="9" t="s">
        <v>464</v>
      </c>
      <c r="B29" s="9" t="s">
        <v>465</v>
      </c>
      <c r="C29" s="9" t="s">
        <v>466</v>
      </c>
      <c r="D29" s="9" t="s">
        <v>467</v>
      </c>
      <c r="E29" s="9"/>
      <c r="F29" s="9"/>
    </row>
    <row r="30" spans="1:6" ht="31.5" customHeight="1" x14ac:dyDescent="0.35">
      <c r="A30" s="8"/>
      <c r="B30" s="8"/>
      <c r="C30" s="8"/>
      <c r="D30" s="8"/>
      <c r="E30" s="8"/>
      <c r="F30" s="8"/>
    </row>
    <row r="31" spans="1:6" ht="31.5" customHeight="1" x14ac:dyDescent="0.35">
      <c r="A31" s="9"/>
      <c r="B31" s="9"/>
      <c r="C31" s="9"/>
      <c r="D31" s="9"/>
      <c r="E31" s="9"/>
      <c r="F31" s="9"/>
    </row>
    <row r="32" spans="1:6" ht="31.5" customHeight="1" x14ac:dyDescent="0.35">
      <c r="A32" s="8"/>
      <c r="B32" s="8"/>
      <c r="C32" s="8"/>
      <c r="D32" s="8"/>
      <c r="E32" s="8"/>
      <c r="F32" s="8"/>
    </row>
    <row r="34" spans="1:6" ht="25.5" customHeight="1" x14ac:dyDescent="0.35">
      <c r="A34" s="1" t="s">
        <v>468</v>
      </c>
      <c r="B34" s="1"/>
      <c r="C34" s="1"/>
      <c r="D34" s="1"/>
      <c r="E34" s="1"/>
      <c r="F34" s="1"/>
    </row>
    <row r="35" spans="1:6" ht="27.75" customHeight="1" x14ac:dyDescent="0.35">
      <c r="A35" s="10" t="s">
        <v>13</v>
      </c>
      <c r="B35" s="10" t="s">
        <v>469</v>
      </c>
      <c r="C35" s="10" t="s">
        <v>385</v>
      </c>
      <c r="D35" s="10" t="s">
        <v>470</v>
      </c>
      <c r="E35" s="10" t="s">
        <v>63</v>
      </c>
      <c r="F35" s="10" t="s">
        <v>471</v>
      </c>
    </row>
    <row r="36" spans="1:6" ht="31.5" customHeight="1" x14ac:dyDescent="0.35">
      <c r="A36" s="8">
        <v>1</v>
      </c>
      <c r="B36" s="8" t="s">
        <v>472</v>
      </c>
      <c r="C36" s="8" t="s">
        <v>473</v>
      </c>
      <c r="D36" s="8" t="s">
        <v>474</v>
      </c>
      <c r="E36" s="8" t="s">
        <v>390</v>
      </c>
      <c r="F36" s="8"/>
    </row>
    <row r="37" spans="1:6" ht="31.5" customHeight="1" x14ac:dyDescent="0.35">
      <c r="A37" s="9"/>
      <c r="B37" s="9"/>
      <c r="C37" s="9"/>
      <c r="D37" s="9"/>
      <c r="E37" s="9"/>
      <c r="F37" s="9"/>
    </row>
    <row r="38" spans="1:6" ht="31.5" customHeight="1" x14ac:dyDescent="0.35">
      <c r="A38" s="8"/>
      <c r="B38" s="8"/>
      <c r="C38" s="8"/>
      <c r="D38" s="8"/>
      <c r="E38" s="8"/>
      <c r="F38" s="8"/>
    </row>
    <row r="39" spans="1:6" ht="31.5" customHeight="1" x14ac:dyDescent="0.35">
      <c r="A39" s="9"/>
      <c r="B39" s="9"/>
      <c r="C39" s="9"/>
      <c r="D39" s="9"/>
      <c r="E39" s="9"/>
      <c r="F39" s="9"/>
    </row>
    <row r="41" spans="1:6" ht="25.5" customHeight="1" x14ac:dyDescent="0.35">
      <c r="A41" s="1" t="s">
        <v>475</v>
      </c>
      <c r="B41" s="1"/>
      <c r="C41" s="1"/>
      <c r="D41" s="1"/>
      <c r="E41" s="1"/>
      <c r="F41" s="1"/>
    </row>
    <row r="42" spans="1:6" ht="27.75" customHeight="1" x14ac:dyDescent="0.35">
      <c r="A42" s="10" t="s">
        <v>378</v>
      </c>
      <c r="B42" s="10" t="s">
        <v>379</v>
      </c>
      <c r="C42" s="10" t="s">
        <v>383</v>
      </c>
      <c r="D42" s="10" t="s">
        <v>476</v>
      </c>
      <c r="E42" s="10"/>
      <c r="F42" s="10"/>
    </row>
    <row r="43" spans="1:6" ht="31.5" customHeight="1" x14ac:dyDescent="0.35">
      <c r="A43" s="9" t="s">
        <v>391</v>
      </c>
      <c r="B43" s="9" t="s">
        <v>477</v>
      </c>
      <c r="C43" s="9">
        <v>20</v>
      </c>
      <c r="D43" s="9" t="s">
        <v>478</v>
      </c>
      <c r="E43" s="9"/>
      <c r="F43" s="9"/>
    </row>
    <row r="44" spans="1:6" ht="31.5" customHeight="1" x14ac:dyDescent="0.35">
      <c r="A44" s="8"/>
      <c r="B44" s="8"/>
      <c r="C44" s="8"/>
      <c r="D44" s="8"/>
      <c r="E44" s="8"/>
      <c r="F44" s="8"/>
    </row>
    <row r="45" spans="1:6" ht="31.5" customHeight="1" x14ac:dyDescent="0.35">
      <c r="A45" s="9"/>
      <c r="B45" s="9"/>
      <c r="C45" s="9"/>
      <c r="D45" s="9"/>
      <c r="E45" s="9"/>
      <c r="F45" s="9"/>
    </row>
    <row r="46" spans="1:6" ht="31.5" customHeight="1" x14ac:dyDescent="0.35">
      <c r="A46" s="8"/>
      <c r="B46" s="8"/>
      <c r="C46" s="8"/>
      <c r="D46" s="8"/>
      <c r="E46" s="8"/>
      <c r="F46" s="8"/>
    </row>
    <row r="48" spans="1:6" ht="25.5" customHeight="1" x14ac:dyDescent="0.35">
      <c r="A48" s="1" t="s">
        <v>479</v>
      </c>
      <c r="B48" s="1"/>
      <c r="C48" s="1"/>
      <c r="D48" s="1"/>
      <c r="E48" s="1"/>
      <c r="F48" s="1"/>
    </row>
    <row r="49" spans="1:6" ht="27.75" customHeight="1" x14ac:dyDescent="0.35">
      <c r="A49" s="10" t="s">
        <v>480</v>
      </c>
      <c r="B49" s="10" t="s">
        <v>481</v>
      </c>
      <c r="C49" s="10" t="s">
        <v>482</v>
      </c>
      <c r="D49" s="10" t="s">
        <v>483</v>
      </c>
      <c r="E49" s="10" t="s">
        <v>484</v>
      </c>
      <c r="F49" s="10"/>
    </row>
    <row r="50" spans="1:6" ht="31.5" customHeight="1" x14ac:dyDescent="0.35">
      <c r="A50" s="8" t="s">
        <v>485</v>
      </c>
      <c r="B50" s="8" t="s">
        <v>486</v>
      </c>
      <c r="C50" s="8" t="s">
        <v>487</v>
      </c>
      <c r="D50" s="8" t="s">
        <v>488</v>
      </c>
      <c r="E50" s="8" t="s">
        <v>489</v>
      </c>
      <c r="F50" s="8"/>
    </row>
    <row r="51" spans="1:6" ht="31.5" customHeight="1" x14ac:dyDescent="0.35">
      <c r="A51" s="9" t="s">
        <v>490</v>
      </c>
      <c r="B51" s="9" t="s">
        <v>491</v>
      </c>
      <c r="C51" s="9" t="s">
        <v>492</v>
      </c>
      <c r="D51" s="9" t="s">
        <v>493</v>
      </c>
      <c r="E51" s="9" t="s">
        <v>494</v>
      </c>
      <c r="F51" s="9"/>
    </row>
    <row r="52" spans="1:6" ht="31.5" customHeight="1" x14ac:dyDescent="0.35">
      <c r="A52" s="8" t="s">
        <v>495</v>
      </c>
      <c r="B52" s="8" t="s">
        <v>496</v>
      </c>
      <c r="C52" s="8" t="s">
        <v>497</v>
      </c>
      <c r="D52" s="8" t="s">
        <v>498</v>
      </c>
      <c r="E52" s="8" t="s">
        <v>499</v>
      </c>
      <c r="F52" s="8"/>
    </row>
    <row r="53" spans="1:6" ht="31.5" customHeight="1" x14ac:dyDescent="0.35">
      <c r="A53" s="9"/>
      <c r="B53" s="9"/>
      <c r="C53" s="9"/>
      <c r="D53" s="9"/>
      <c r="E53" s="9"/>
      <c r="F53" s="9"/>
    </row>
    <row r="54" spans="1:6" ht="31.5" customHeight="1" x14ac:dyDescent="0.35">
      <c r="A54" s="8"/>
      <c r="B54" s="8"/>
      <c r="C54" s="8"/>
      <c r="D54" s="8"/>
      <c r="E54" s="8"/>
      <c r="F54" s="8"/>
    </row>
    <row r="55" spans="1:6" ht="31.5" customHeight="1" x14ac:dyDescent="0.35">
      <c r="A55" s="9"/>
      <c r="B55" s="9"/>
      <c r="C55" s="9"/>
      <c r="D55" s="9"/>
      <c r="E55" s="9"/>
      <c r="F55" s="9"/>
    </row>
  </sheetData>
  <mergeCells count="8">
    <mergeCell ref="A34:F34"/>
    <mergeCell ref="A41:F41"/>
    <mergeCell ref="A48:F48"/>
    <mergeCell ref="A1:F1"/>
    <mergeCell ref="A2:F2"/>
    <mergeCell ref="A13:F13"/>
    <mergeCell ref="A20:F20"/>
    <mergeCell ref="A27:F27"/>
  </mergeCells>
  <conditionalFormatting sqref="B6:B11">
    <cfRule type="cellIs" dxfId="2" priority="2" operator="equal">
      <formula>"Green"</formula>
    </cfRule>
    <cfRule type="cellIs" dxfId="1" priority="3" operator="equal">
      <formula>"Amber"</formula>
    </cfRule>
    <cfRule type="cellIs" dxfId="0" priority="4" operator="equal">
      <formula>"Red"</formula>
    </cfRule>
  </conditionalFormatting>
  <dataValidations count="1">
    <dataValidation type="list" allowBlank="1" sqref="B6:B11" xr:uid="{00000000-0002-0000-0600-000000000000}">
      <formula1>"Green,Amber,Red"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showGridLines="0" zoomScaleNormal="100" workbookViewId="0"/>
  </sheetViews>
  <sheetFormatPr defaultColWidth="8.6328125" defaultRowHeight="14.5" x14ac:dyDescent="0.35"/>
  <cols>
    <col min="1" max="1" width="12" customWidth="1"/>
    <col min="2" max="2" width="14" customWidth="1"/>
    <col min="3" max="3" width="22" customWidth="1"/>
    <col min="4" max="4" width="42" customWidth="1"/>
    <col min="5" max="5" width="48" customWidth="1"/>
    <col min="6" max="6" width="22" customWidth="1"/>
    <col min="7" max="7" width="24" customWidth="1"/>
    <col min="8" max="8" width="14" customWidth="1"/>
  </cols>
  <sheetData>
    <row r="1" spans="1:8" ht="36" customHeight="1" x14ac:dyDescent="0.35">
      <c r="A1" s="5" t="s">
        <v>500</v>
      </c>
      <c r="B1" s="5"/>
      <c r="C1" s="5"/>
      <c r="D1" s="5"/>
      <c r="E1" s="5"/>
      <c r="F1" s="5"/>
      <c r="G1" s="5"/>
      <c r="H1" s="5"/>
    </row>
    <row r="2" spans="1:8" ht="21.75" customHeight="1" x14ac:dyDescent="0.35">
      <c r="A2" s="4" t="s">
        <v>501</v>
      </c>
      <c r="B2" s="4"/>
      <c r="C2" s="4"/>
      <c r="D2" s="4"/>
      <c r="E2" s="4"/>
      <c r="F2" s="4"/>
      <c r="G2" s="4"/>
      <c r="H2" s="4"/>
    </row>
    <row r="4" spans="1:8" ht="27.75" customHeight="1" x14ac:dyDescent="0.35">
      <c r="A4" s="10" t="s">
        <v>502</v>
      </c>
      <c r="B4" s="10" t="s">
        <v>503</v>
      </c>
      <c r="C4" s="10" t="s">
        <v>14</v>
      </c>
      <c r="D4" s="10" t="s">
        <v>504</v>
      </c>
      <c r="E4" s="10" t="s">
        <v>505</v>
      </c>
      <c r="F4" s="10" t="s">
        <v>506</v>
      </c>
      <c r="G4" s="10" t="s">
        <v>507</v>
      </c>
      <c r="H4" s="10" t="s">
        <v>63</v>
      </c>
    </row>
    <row r="5" spans="1:8" ht="31.5" customHeight="1" x14ac:dyDescent="0.35">
      <c r="A5" s="9" t="s">
        <v>508</v>
      </c>
      <c r="B5" s="9" t="s">
        <v>509</v>
      </c>
      <c r="C5" s="9" t="s">
        <v>333</v>
      </c>
      <c r="D5" s="9" t="s">
        <v>510</v>
      </c>
      <c r="E5" s="9" t="s">
        <v>511</v>
      </c>
      <c r="F5" s="9" t="s">
        <v>25</v>
      </c>
      <c r="G5" s="9" t="s">
        <v>512</v>
      </c>
      <c r="H5" s="9" t="s">
        <v>513</v>
      </c>
    </row>
    <row r="6" spans="1:8" ht="31.5" customHeight="1" x14ac:dyDescent="0.35">
      <c r="A6" s="8" t="s">
        <v>514</v>
      </c>
      <c r="B6" s="8" t="s">
        <v>509</v>
      </c>
      <c r="C6" s="8" t="s">
        <v>333</v>
      </c>
      <c r="D6" s="8" t="s">
        <v>515</v>
      </c>
      <c r="E6" s="8" t="s">
        <v>516</v>
      </c>
      <c r="F6" s="8" t="s">
        <v>25</v>
      </c>
      <c r="G6" s="8" t="s">
        <v>517</v>
      </c>
      <c r="H6" s="8" t="s">
        <v>513</v>
      </c>
    </row>
    <row r="7" spans="1:8" ht="31.5" customHeight="1" x14ac:dyDescent="0.35">
      <c r="A7" s="9" t="s">
        <v>518</v>
      </c>
      <c r="B7" s="9" t="s">
        <v>509</v>
      </c>
      <c r="C7" s="9" t="s">
        <v>354</v>
      </c>
      <c r="D7" s="9" t="s">
        <v>519</v>
      </c>
      <c r="E7" s="9" t="s">
        <v>520</v>
      </c>
      <c r="F7" s="9" t="s">
        <v>211</v>
      </c>
      <c r="G7" s="9" t="s">
        <v>521</v>
      </c>
      <c r="H7" s="9" t="s">
        <v>513</v>
      </c>
    </row>
    <row r="8" spans="1:8" ht="31.5" customHeight="1" x14ac:dyDescent="0.35">
      <c r="A8" s="8"/>
      <c r="B8" s="8"/>
      <c r="C8" s="8"/>
      <c r="D8" s="8"/>
      <c r="E8" s="8"/>
      <c r="F8" s="8"/>
      <c r="G8" s="8"/>
      <c r="H8" s="8"/>
    </row>
    <row r="9" spans="1:8" ht="31.5" customHeight="1" x14ac:dyDescent="0.35">
      <c r="A9" s="9"/>
      <c r="B9" s="9"/>
      <c r="C9" s="9"/>
      <c r="D9" s="9"/>
      <c r="E9" s="9"/>
      <c r="F9" s="9"/>
      <c r="G9" s="9"/>
      <c r="H9" s="9"/>
    </row>
    <row r="10" spans="1:8" ht="31.5" customHeight="1" x14ac:dyDescent="0.35">
      <c r="A10" s="8"/>
      <c r="B10" s="8"/>
      <c r="C10" s="8"/>
      <c r="D10" s="8"/>
      <c r="E10" s="8"/>
      <c r="F10" s="8"/>
      <c r="G10" s="8"/>
      <c r="H10" s="8"/>
    </row>
    <row r="11" spans="1:8" ht="31.5" customHeight="1" x14ac:dyDescent="0.35">
      <c r="A11" s="9"/>
      <c r="B11" s="9"/>
      <c r="C11" s="9"/>
      <c r="D11" s="9"/>
      <c r="E11" s="9"/>
      <c r="F11" s="9"/>
      <c r="G11" s="9"/>
      <c r="H11" s="9"/>
    </row>
    <row r="12" spans="1:8" ht="31.5" customHeight="1" x14ac:dyDescent="0.35">
      <c r="A12" s="8"/>
      <c r="B12" s="8"/>
      <c r="C12" s="8"/>
      <c r="D12" s="8"/>
      <c r="E12" s="8"/>
      <c r="F12" s="8"/>
      <c r="G12" s="8"/>
      <c r="H12" s="8"/>
    </row>
    <row r="13" spans="1:8" ht="31.5" customHeight="1" x14ac:dyDescent="0.35">
      <c r="A13" s="9"/>
      <c r="B13" s="9"/>
      <c r="C13" s="9"/>
      <c r="D13" s="9"/>
      <c r="E13" s="9"/>
      <c r="F13" s="9"/>
      <c r="G13" s="9"/>
      <c r="H13" s="9"/>
    </row>
  </sheetData>
  <mergeCells count="2">
    <mergeCell ref="A1:H1"/>
    <mergeCell ref="A2:H2"/>
  </mergeCells>
  <dataValidations count="1">
    <dataValidation type="list" allowBlank="1" sqref="H5:H13" xr:uid="{00000000-0002-0000-0700-000000000000}">
      <formula1>"Proposed,Approved,Rejected,Superseded"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Project Plan</vt:lpstr>
      <vt:lpstr>Milestones &amp; Gates</vt:lpstr>
      <vt:lpstr>RACI Matrix</vt:lpstr>
      <vt:lpstr>Execution Checklist</vt:lpstr>
      <vt:lpstr>Risk Register</vt:lpstr>
      <vt:lpstr>Status Report</vt:lpstr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Bhattacharya, Bodhisatwa</cp:lastModifiedBy>
  <cp:revision>0</cp:revision>
  <dcterms:created xsi:type="dcterms:W3CDTF">2026-05-12T16:45:05Z</dcterms:created>
  <dcterms:modified xsi:type="dcterms:W3CDTF">2026-05-13T05:41:10Z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2026-05-13T05:40:55Z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b235d851-437d-487d-9545-fae93115ae6b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