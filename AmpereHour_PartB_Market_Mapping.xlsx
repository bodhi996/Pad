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ttacharya Bodhis\Downloads\"/>
    </mc:Choice>
  </mc:AlternateContent>
  <xr:revisionPtr revIDLastSave="0" documentId="13_ncr:1_{8D0A601B-36F7-4BBE-9C1C-31DD3F5CE06F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Read Me" sheetId="1" r:id="rId1"/>
    <sheet name="Startup Landscape" sheetId="2" r:id="rId2"/>
    <sheet name="Analyst View" sheetId="3" r:id="rId3"/>
    <sheet name="Incumbents (contex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</calcChain>
</file>

<file path=xl/sharedStrings.xml><?xml version="1.0" encoding="utf-8"?>
<sst xmlns="http://schemas.openxmlformats.org/spreadsheetml/2006/main" count="299" uniqueCount="254">
  <si>
    <t>India Energy Storage &amp; Electrification — Startup Landscape</t>
  </si>
  <si>
    <t>Assignment 1 · Part B — Market Mapping  |  Sector chosen in Part A: Energy Storage &amp; Electrification  |  Prepared for 3iP · June 2026</t>
  </si>
  <si>
    <t>What's in this workbook</t>
  </si>
  <si>
    <t>1.  Startup Landscape</t>
  </si>
  <si>
    <t>21 Indian startups across the storage &amp; electrification value chain — founders, stage, funding, key technology, traction. (Brief asked for 20+.)</t>
  </si>
  <si>
    <t>2.  Analyst View</t>
  </si>
  <si>
    <t>The three required answers: 5 companies to prioritise meeting, the most investable, and the most overhyped — each with rationale.</t>
  </si>
  <si>
    <t>3.  Incumbents (context)</t>
  </si>
  <si>
    <t>Large corporates / listed players that dominate utility-scale BESS. Provided as market context — NOT counted among the 20+ startups.</t>
  </si>
  <si>
    <t>How to read the map</t>
  </si>
  <si>
    <t>★  in 'Priority to meet'</t>
  </si>
  <si>
    <t>One of my five priority meetings (see Analyst View for the portfolio logic).</t>
  </si>
  <si>
    <t>Green row — 'Most investable'</t>
  </si>
  <si>
    <t>My single most-investable pick on a risk-adjusted basis.</t>
  </si>
  <si>
    <t>Red row — 'Most overhyped'</t>
  </si>
  <si>
    <t>My most-overhyped pick — valuation / narrative ahead of fundamentals.</t>
  </si>
  <si>
    <t>Funding (US$ M)</t>
  </si>
  <si>
    <t>Approximate cumulative or latest-round disclosed funding. 'n.d.' = not publicly disclosed.</t>
  </si>
  <si>
    <t>Method &amp; sources</t>
  </si>
  <si>
    <t>Compiled from Tracxn, Crunchbase, PitchBook, Dealroom, company announcements and trade press (Mercom, Inc42, EVreporter, pv-magazine, TechCrunch), as of June 2026. Many of these are deep-tech, pre-revenue or early-revenue companies, so stage and funding figures move quickly and several are approximate. 'Electrification' is read to include battery-swapping / battery-as-a-service. Where founder names are not reliably public, the cell is marked n.d.</t>
  </si>
  <si>
    <t>India Energy Storage &amp; Electrification — Startup Landscape (21 companies)</t>
  </si>
  <si>
    <t>Spanning grid-scale BESS, cell manufacturing, advanced/alternative chemistries, packs &amp; BMS, recycling and battery-swapping.  ★ = priority meeting · green = most investable · red = most overhyped.</t>
  </si>
  <si>
    <t>#</t>
  </si>
  <si>
    <t>Company</t>
  </si>
  <si>
    <t>Sub-segment</t>
  </si>
  <si>
    <t>Founders</t>
  </si>
  <si>
    <t>Founded</t>
  </si>
  <si>
    <t>HQ</t>
  </si>
  <si>
    <t>Stage</t>
  </si>
  <si>
    <t>Funding
(US$ M)*</t>
  </si>
  <si>
    <t>Key investors</t>
  </si>
  <si>
    <t>Key technology / focus</t>
  </si>
  <si>
    <t>Notable traction / notes</t>
  </si>
  <si>
    <t>Priority
to meet</t>
  </si>
  <si>
    <t>Analyst tag</t>
  </si>
  <si>
    <t>AmpereHour Energy</t>
  </si>
  <si>
    <t>Grid-scale BESS (integration + software)</t>
  </si>
  <si>
    <t>Ayush Misra, Rahul Shelke, Harshal Thakur, Neehar Jathar</t>
  </si>
  <si>
    <t>Pune</t>
  </si>
  <si>
    <t>Series A</t>
  </si>
  <si>
    <t>Avaana Capital, UC Impower, Plug and Play, Spectrum Impact</t>
  </si>
  <si>
    <t>Full-stack, chemistry-agnostic BESS + proprietary ELINA AI/ML EMS; turnkey EPC + O&amp;M</t>
  </si>
  <si>
    <t>India's first regulatory-approved utility BESS (20MW/40MWh, Delhi); ~1 GWh pipeline; claims ~1/3 of contracted capacity*</t>
  </si>
  <si>
    <t>★</t>
  </si>
  <si>
    <t>Most investable</t>
  </si>
  <si>
    <t>International Battery Co. (IBC)</t>
  </si>
  <si>
    <t>Li-ion cell manufacturing</t>
  </si>
  <si>
    <t>Priyadarshi Panda, Raj Shekhar Singh, Venkatesh Valluri, Sasi Kuppannagari</t>
  </si>
  <si>
    <t>Bengaluru / Sunnyvale</t>
  </si>
  <si>
    <t>RTP Global, Beenext, Veda VC</t>
  </si>
  <si>
    <t>Large-format prismatic I-NMC Li-ion cells; ~40% higher density than LFP; giga-scale (2→10 GWh)</t>
  </si>
  <si>
    <t>Korea pilot + Bengaluru gigafactory; ~1,000 2W packs deployed in FY25</t>
  </si>
  <si>
    <t>Log9 Materials</t>
  </si>
  <si>
    <t>Advanced cells / materials</t>
  </si>
  <si>
    <t>Akshay Singhal, Kartik Hajela, Pankaj Sharma</t>
  </si>
  <si>
    <t>Bengaluru</t>
  </si>
  <si>
    <t>Series B (distressed)</t>
  </si>
  <si>
    <t>Amara Raja, PETRONAS Ventures, Peak XV (Surge)</t>
  </si>
  <si>
    <t>Graphene nanotech; LTO/LFP fast-charge cells (RapidX); aluminium-air fuel cells</t>
  </si>
  <si>
    <t>Pioneer that raised ~$90M at ~$210M val, then collapsed in 2025 (layoffs, debt, asset sales)</t>
  </si>
  <si>
    <t>Most overhyped</t>
  </si>
  <si>
    <t>Cygni Energy</t>
  </si>
  <si>
    <t>Li-ion packs + C&amp;I BESS</t>
  </si>
  <si>
    <t>Venkat Rajaraman</t>
  </si>
  <si>
    <t>Hyderabad</t>
  </si>
  <si>
    <t>Series B</t>
  </si>
  <si>
    <t>Endiya Partners, Exfinity, ADB Ventures</t>
  </si>
  <si>
    <t>Li-ion packs (EV) + commercial BESS + DC power systems with software optimisation</t>
  </si>
  <si>
    <t>IIT-Madras incubated; C&amp;I and telecom BESS deployments</t>
  </si>
  <si>
    <t>Inverted Energy</t>
  </si>
  <si>
    <t>Li-ion packs + BESS</t>
  </si>
  <si>
    <t>n.d. (IIT-alumni founders)</t>
  </si>
  <si>
    <t>New Delhi</t>
  </si>
  <si>
    <t>Early VC</t>
  </si>
  <si>
    <t>n.d.</t>
  </si>
  <si>
    <t>Engineering-led Li-ion battery design &amp; manufacturing + stationary energy storage</t>
  </si>
  <si>
    <t>Diversified packs and storage systems</t>
  </si>
  <si>
    <t>Offgrid Energy Labs</t>
  </si>
  <si>
    <t>Non-lithium (zinc) storage</t>
  </si>
  <si>
    <t>Tejas Kusurkar, Brindan Tulachan, Rishi Srivastava, Ankur Agarwal</t>
  </si>
  <si>
    <t>Greater Noida (IIT-K)</t>
  </si>
  <si>
    <t>(Series A, 2025)</t>
  </si>
  <si>
    <t>ZincGel zinc-bromine battery; ~80–90% of Li efficiency at lower LCOS; non-flammable</t>
  </si>
  <si>
    <t>10 MWh UK demo (2026); India gigafactory planned</t>
  </si>
  <si>
    <t>Gegadyne Energy</t>
  </si>
  <si>
    <t>Advanced fast-charge cells</t>
  </si>
  <si>
    <t>Jubin Varghese, Ameya Gadiwan</t>
  </si>
  <si>
    <t>Mumbai</t>
  </si>
  <si>
    <t>V-Guard, Mumbai Angels</t>
  </si>
  <si>
    <t>Non-lithium nanomaterial fast-charging battery; domestically sourced materials</t>
  </si>
  <si>
    <t>Forbes 30-under-30 founders; fast-charge IP</t>
  </si>
  <si>
    <t>GODI India</t>
  </si>
  <si>
    <t>Cells + supercaps (Li / Na / SSB)</t>
  </si>
  <si>
    <t>Mahesh Godi</t>
  </si>
  <si>
    <t>Strategic / growth</t>
  </si>
  <si>
    <t>Graphite India (~31–46%), Blue Ashva Capital</t>
  </si>
  <si>
    <t>Li-ion, Na-ion and all-solid-state cells + supercapacitors; in-house materials &amp; recycling</t>
  </si>
  <si>
    <t>Demoed India's first indigenous Li-ion cell; 12.5 GWh Telangana plan</t>
  </si>
  <si>
    <t>Indi Energy</t>
  </si>
  <si>
    <t>Sodium-ion cells</t>
  </si>
  <si>
    <t>Four IIT-Roorkee scientists (TIDES)</t>
  </si>
  <si>
    <t>Roorkee</t>
  </si>
  <si>
    <t>Seed / grant-backed</t>
  </si>
  <si>
    <t>DRDO 'Dare to Dream', govt grants</t>
  </si>
  <si>
    <t>Sodium-ion cells + BioBlack hard-carbon anode (from biowaste) + cathode/electrolyte</t>
  </si>
  <si>
    <t>India's first Na-ion cell; National Startup Award 2022</t>
  </si>
  <si>
    <t>Rechargion</t>
  </si>
  <si>
    <t>Dr. Vilas Shelke</t>
  </si>
  <si>
    <t>Nashik</t>
  </si>
  <si>
    <t>Govt / CSIR programmes, angels</t>
  </si>
  <si>
    <t>Sodium-ion cells; lithium-sulphur R&amp;D; ran an early Na-ion pilot fabrication line</t>
  </si>
  <si>
    <t>Deep-Tech Pioneer (Hello Tomorrow); UNIDO demo</t>
  </si>
  <si>
    <t>e-TRNL Energy</t>
  </si>
  <si>
    <t>Next-gen cell technology</t>
  </si>
  <si>
    <t>Apoorv Shaligram, Dr. Uttam Kumar Sen</t>
  </si>
  <si>
    <t>Seed</t>
  </si>
  <si>
    <t>IAN Alpha Fund, Speciale Invest, Navam, Ather founders</t>
  </si>
  <si>
    <t>3D-Electrode Architecture (3DEA), chemistry-agnostic cell + in-house manufacturing machinery</t>
  </si>
  <si>
    <t>2 patents granted; 250 MWh pilot by 2027 → 2 GWh; ex-Ather battery team</t>
  </si>
  <si>
    <t>Neuron Energy</t>
  </si>
  <si>
    <t>Li-ion / Na-ion packs</t>
  </si>
  <si>
    <t>Pratik Kamdar, Raj Shah</t>
  </si>
  <si>
    <t>Mumbai / Pune</t>
  </si>
  <si>
    <t>Pre-Series B</t>
  </si>
  <si>
    <t>Equanimity Ventures, Capri Global FO, Chona FO</t>
  </si>
  <si>
    <t>Li-ion, Na-ion &amp; lead-acid packs for EV + ESS; low-capex model; scaling to 3 GWh</t>
  </si>
  <si>
    <t>Reportedly profitable; ~₹200 Cr revenue target</t>
  </si>
  <si>
    <t>Grinntech</t>
  </si>
  <si>
    <t>Packs + BMS</t>
  </si>
  <si>
    <t>Nikhilesh Mishra, Puneet Jain</t>
  </si>
  <si>
    <t>Chennai</t>
  </si>
  <si>
    <t>n.d. (VC / strategic)</t>
  </si>
  <si>
    <t>Smart modular Li-ion packs (48V–1100V) + BMS for automotive, stationary &amp; swapping</t>
  </si>
  <si>
    <t>IIT-Madras incubated; R&amp;D-led pack platform</t>
  </si>
  <si>
    <t>REPLUS Engitech</t>
  </si>
  <si>
    <t>BESS + packs</t>
  </si>
  <si>
    <t>Hiren Pravin Shah, Kaushik Tanti</t>
  </si>
  <si>
    <t>Corporate-backed</t>
  </si>
  <si>
    <t>Bhilwara Energy (LNJ Bhilwara Group)</t>
  </si>
  <si>
    <t>Li-ion BESS + AI-enabled battery packs; in-house BMS/EMS; 1→6 GWh facility</t>
  </si>
  <si>
    <t>~100 MWh BESS deployed; Hero Future Energies partner</t>
  </si>
  <si>
    <t>Vision Mechatronics</t>
  </si>
  <si>
    <t>BESS + advanced storage</t>
  </si>
  <si>
    <t>Dr. Rashi Gupta</t>
  </si>
  <si>
    <t>Thane (Mumbai)</t>
  </si>
  <si>
    <t>Bootstrapped</t>
  </si>
  <si>
    <t>Li-ion BESS, robotics and advanced-storage R&amp;D (incl. solid-state); IESA member</t>
  </si>
  <si>
    <t>Diverse storage &amp; microgrid projects</t>
  </si>
  <si>
    <t>Lohum</t>
  </si>
  <si>
    <t>Recycling + materials</t>
  </si>
  <si>
    <t>Rajat Verma</t>
  </si>
  <si>
    <t>Greater Noida</t>
  </si>
  <si>
    <t>Series B / growth</t>
  </si>
  <si>
    <t>Baring PE, Cactus Venture Partners</t>
  </si>
  <si>
    <t>Li-ion recycling + second-life repurposing + battery-grade materials ('urban mining')</t>
  </si>
  <si>
    <t>~70% of India's recycling share; multi-geography</t>
  </si>
  <si>
    <t>Metastable Materials</t>
  </si>
  <si>
    <t>Recycling</t>
  </si>
  <si>
    <t>Shubham Vishvakarma, Manikumar Uppala, Saurav Goyal</t>
  </si>
  <si>
    <t>Seed / pre-A</t>
  </si>
  <si>
    <t>Peak XV (Surge), Speciale Invest, Theia</t>
  </si>
  <si>
    <t>Chemical-free Integrated Carbothermal Reduction recycling; &gt;90% material recovery</t>
  </si>
  <si>
    <t>1,500 t/yr urban-mining facility (~6% of India demand)</t>
  </si>
  <si>
    <t>Battery Smart</t>
  </si>
  <si>
    <t>Battery swapping (BaaS)</t>
  </si>
  <si>
    <t>Pulkit Khurana, Siddharth Sikka</t>
  </si>
  <si>
    <t>Tiger Global, LeapFrog, MUFG, Panasonic, Blume</t>
  </si>
  <si>
    <t>Battery-as-a-service swapping network + Li-ion batteries for 2W/3W</t>
  </si>
  <si>
    <t>India's largest swap network; ~35M+ swaps; ~$451M valuation</t>
  </si>
  <si>
    <t>Richly valued</t>
  </si>
  <si>
    <t>SUN Mobility</t>
  </si>
  <si>
    <t>Battery swapping + energy infra</t>
  </si>
  <si>
    <t>Chetan Maini, Uday Khemka, Ajay Goel</t>
  </si>
  <si>
    <t>Growth</t>
  </si>
  <si>
    <t>Vitol, others (29 investors)</t>
  </si>
  <si>
    <t>Swappable smart batteries + charging/energy infrastructure for 2W/3W/buses</t>
  </si>
  <si>
    <t>Pan-India + international swap network</t>
  </si>
  <si>
    <t>VoltUp</t>
  </si>
  <si>
    <t>Battery swapping</t>
  </si>
  <si>
    <t>Siddharth Kabra</t>
  </si>
  <si>
    <t>Seed / growth</t>
  </si>
  <si>
    <t>EM Impact Capital</t>
  </si>
  <si>
    <t>Cloud-connected Li-ion battery-swapping network for 2W/3W</t>
  </si>
  <si>
    <t>Multi-city swap-station footprint</t>
  </si>
  <si>
    <t>Exicom Tele-Systems</t>
  </si>
  <si>
    <t>BESS + EV chargers (listed)</t>
  </si>
  <si>
    <t>Anant Nahata (MD)</t>
  </si>
  <si>
    <t>Gurugram</t>
  </si>
  <si>
    <t>Listed (2024 IPO)</t>
  </si>
  <si>
    <t>Public markets</t>
  </si>
  <si>
    <t>Grid &amp; C&amp;I BESS + EV chargers + ChargeOS charging-management software; turnkey</t>
  </si>
  <si>
    <t>Listed 2024; established power-electronics + storage player</t>
  </si>
  <si>
    <t>Listed (context)</t>
  </si>
  <si>
    <t>Total disclosed funding (US$ M, approx.)</t>
  </si>
  <si>
    <t>*Approximate cumulative / latest-disclosed funding; 'n.d.' = not publicly disclosed. Several entries are corporate- or grant-backed (no conventional VC round). Sources: Tracxn, Crunchbase, PitchBook, company press &amp; trade media, Jun 2026.</t>
  </si>
  <si>
    <t>Analyst View — the three required calls</t>
  </si>
  <si>
    <t>Energy Storage &amp; Electrification  ·  judgments consistent with the Part A note on AmpereHour Energy</t>
  </si>
  <si>
    <t>1.  Five companies I would prioritise meeting</t>
  </si>
  <si>
    <t>Why meet</t>
  </si>
  <si>
    <t>Value-chain slot</t>
  </si>
  <si>
    <t>Grid-scale BESS leader; software-led and asset-light. Meet to validate the Part A thesis and independently test the '~1/3 of contracted capacity' / '#1 full-stack' claims.</t>
  </si>
  <si>
    <t>Integration + software</t>
  </si>
  <si>
    <t>India's biggest strategic gap is domestic cells. Credible giga-scale prismatic-NMC plan, strong founder pedigree (MIT/IIT, ex-Applied Materials) and ~$64M raised.</t>
  </si>
  <si>
    <t>Cell manufacturing</t>
  </si>
  <si>
    <t>Genuine cell-architecture IP (3DEA) plus in-house machinery; chemistry-agnostic; ex-Ather founders. Early enough for a venture entry with high technical-moat upside.</t>
  </si>
  <si>
    <t>Next-gen cell tech</t>
  </si>
  <si>
    <t>Differentiated non-lithium (ZincGel) long-duration play at lower LCOS; de-risks China/lithium exposure; large stationary-storage TAM; Series A traction.</t>
  </si>
  <si>
    <t>Alternative chemistry</t>
  </si>
  <si>
    <t>The circular-economy / critical-minerals backbone — scaled, well-funded and structurally necessary as India's installed battery base grows. A 'picks-and-shovels' bet.</t>
  </si>
  <si>
    <t>Recycling / materials</t>
  </si>
  <si>
    <t>Portfolio logic</t>
  </si>
  <si>
    <t>The five deliberately span the value chain — integration-software, cell manufacturing, next-gen cell tech, alternative chemistry and recycling — rather than five correlated bets on the same risk.</t>
  </si>
  <si>
    <t>2.  Most investable  →  AmpereHour Energy</t>
  </si>
  <si>
    <t>•</t>
  </si>
  <si>
    <t>Risk-adjusted exposure to the fastest-growing segment — grid-scale BESS (~236 GWh needed by FY32 vs ~0.5 GWh live) — without the capex of a cell factory.</t>
  </si>
  <si>
    <t>Software (ELINA) offers a margin and stickiness path that pure integrators lack; the asset-light model lets it scale capacity faster than balance-sheet-heavy peers.</t>
  </si>
  <si>
    <t>Real commercial proof — India's first regulatory-approved utility BESS — plus marquee clients (Amazon, Siemens, IndiGrid) and a reputable lead investor (Avaana).</t>
  </si>
  <si>
    <t>Caveat: conviction is conditional on validating unit economics (LCOS, gross margin), the working-capital / capital plan, and that ELINA is a true moat (see Part A diligence).</t>
  </si>
  <si>
    <t>Honourable mentions: IBC (hard-tech manufacturing, if execution &amp; capital hold) and e-TRNL (highest technical-moat upside, earlier and cheaper).</t>
  </si>
  <si>
    <t>3.  Most overhyped  →  Log9 Materials</t>
  </si>
  <si>
    <t>Raised ~$90M at a ~$210M valuation on bold graphene / aluminium-air claims and an 'outshine China' narrative.</t>
  </si>
  <si>
    <t>Repeated pivots (Al-air → LTO/LFP), capital-intensive scaling and weak unit economics led to layoffs, mounting debt, a cofounder exit and asset sales by 2025.</t>
  </si>
  <si>
    <t>Cautionary tale: marquee strategic investors (Amara Raja, PETRONAS) and great science did not substitute for capital discipline and a defensible path to profitability.</t>
  </si>
  <si>
    <t>Secondary watch: battery-swapping valuations (e.g. Battery Smart at ~$451M) look rich relative to the capital intensity and thin unit economics of physical swap-station networks.</t>
  </si>
  <si>
    <t>Incumbents &amp; corporates (market context — not startups)</t>
  </si>
  <si>
    <t>Utility-scale BESS in India is dominated by these well-capitalised groups. They are the competitive backdrop for the startups above — included for context, NOT counted in the 20+.</t>
  </si>
  <si>
    <t>Group</t>
  </si>
  <si>
    <t>Segment</t>
  </si>
  <si>
    <t>Note</t>
  </si>
  <si>
    <t>Adani (Energy Solutions / Green)</t>
  </si>
  <si>
    <t>Developer + BESS</t>
  </si>
  <si>
    <t>~1,376 MWh at Khavda; plans 10+ GWh in FY26, ~50 GWh over 5 yrs.</t>
  </si>
  <si>
    <t>Tata Power / TPREL (+ Agratas)</t>
  </si>
  <si>
    <t>Developer + cells</t>
  </si>
  <si>
    <t>Multiple utility BESS; Agratas building Li-ion gigafactories.</t>
  </si>
  <si>
    <t>Reliance (NU Energi)</t>
  </si>
  <si>
    <t>Integrated / cells</t>
  </si>
  <si>
    <t>Giga-scale ambitions; piloted vanadium-flow LDES.</t>
  </si>
  <si>
    <t>JSW Energy (+ Fluence JV)</t>
  </si>
  <si>
    <t>Developer + integrator</t>
  </si>
  <si>
    <t>~500 MWh JV with Fluence; large RE+storage pipeline.</t>
  </si>
  <si>
    <t>Avaada Group</t>
  </si>
  <si>
    <t>Developer</t>
  </si>
  <si>
    <t>2,500 MWh Pugal (Rajasthan) — India's single largest storage project.</t>
  </si>
  <si>
    <t>Waaree Energies</t>
  </si>
  <si>
    <t>Solar + cells + BESS</t>
  </si>
  <si>
    <t>16 GWh battery gigafactory (Andhra Pradesh); solar-EPC scale.</t>
  </si>
  <si>
    <t>Exide Energy Solutions</t>
  </si>
  <si>
    <t>6 GWh Li-ion cell facility (Bengaluru); legacy battery leader.</t>
  </si>
  <si>
    <t>Amara Raja</t>
  </si>
  <si>
    <t>ACC giga-corridor (Telangana); advanced-chemistry push.</t>
  </si>
  <si>
    <t>NTPC / SJVN / other PSUs</t>
  </si>
  <si>
    <t>State-led utility BESS tenders and deployments.</t>
  </si>
  <si>
    <t>Implication for the startup map: independents must win on software, speed, niche chemistry or capital-efficiency — not on balance sheet or captive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</si>
</sst>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3"/>
      <color rgb="FF0E2A38"/>
      <name val="Arial"/>
      <charset val="1"/>
    </font>
    <font>
      <b/>
      <sz val="10.5"/>
      <color rgb="FF0E7C77"/>
      <name val="Arial"/>
      <charset val="1"/>
    </font>
    <font>
      <sz val="10"/>
      <color rgb="FF15262F"/>
      <name val="Arial"/>
      <charset val="1"/>
    </font>
    <font>
      <b/>
      <sz val="10"/>
      <color rgb="FF15262F"/>
      <name val="Arial"/>
      <charset val="1"/>
    </font>
    <font>
      <b/>
      <sz val="11"/>
      <color rgb="FF0E2A38"/>
      <name val="Arial"/>
      <charset val="1"/>
    </font>
    <font>
      <sz val="9.5"/>
      <color rgb="FF55636B"/>
      <name val="Arial"/>
      <charset val="1"/>
    </font>
    <font>
      <b/>
      <sz val="14"/>
      <color rgb="FFFFFFFF"/>
      <name val="Arial"/>
      <charset val="1"/>
    </font>
    <font>
      <i/>
      <sz val="9.5"/>
      <color rgb="FFFFFFFF"/>
      <name val="Arial"/>
      <charset val="1"/>
    </font>
    <font>
      <b/>
      <sz val="9.5"/>
      <color rgb="FFFFFFFF"/>
      <name val="Arial"/>
      <charset val="1"/>
    </font>
    <font>
      <b/>
      <sz val="9.5"/>
      <color rgb="FF15262F"/>
      <name val="Arial"/>
      <charset val="1"/>
    </font>
    <font>
      <b/>
      <sz val="10"/>
      <color rgb="FF0E2A38"/>
      <name val="Arial"/>
      <charset val="1"/>
    </font>
    <font>
      <sz val="9"/>
      <color rgb="FF15262F"/>
      <name val="Arial"/>
      <charset val="1"/>
    </font>
    <font>
      <sz val="9.5"/>
      <color rgb="FF15262F"/>
      <name val="Arial"/>
      <charset val="1"/>
    </font>
    <font>
      <sz val="8.5"/>
      <color rgb="FF15262F"/>
      <name val="Arial"/>
      <charset val="1"/>
    </font>
    <font>
      <b/>
      <sz val="12"/>
      <color rgb="FF0E7C77"/>
      <name val="Arial"/>
      <charset val="1"/>
    </font>
    <font>
      <b/>
      <sz val="8.5"/>
      <color rgb="FF1F6B4F"/>
      <name val="Arial"/>
      <charset val="1"/>
    </font>
    <font>
      <b/>
      <sz val="8.5"/>
      <color rgb="FF55636B"/>
      <name val="Arial"/>
      <charset val="1"/>
    </font>
    <font>
      <b/>
      <sz val="8.5"/>
      <color rgb="FFB23B2B"/>
      <name val="Arial"/>
      <charset val="1"/>
    </font>
    <font>
      <b/>
      <sz val="10"/>
      <color rgb="FFFFFFFF"/>
      <name val="Arial"/>
      <charset val="1"/>
    </font>
    <font>
      <i/>
      <sz val="8.5"/>
      <color rgb="FF55636B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9.5"/>
      <color rgb="FF0E7C77"/>
      <name val="Arial"/>
      <charset val="1"/>
    </font>
    <font>
      <b/>
      <sz val="10"/>
      <color rgb="FFF2A516"/>
      <name val="Arial"/>
      <charset val="1"/>
    </font>
    <font>
      <i/>
      <sz val="9.5"/>
      <color rgb="FF15262F"/>
      <name val="Arial"/>
      <charset val="1"/>
    </font>
    <font>
      <b/>
      <sz val="11"/>
      <color rgb="FF1F6B4F"/>
      <name val="Arial"/>
      <charset val="1"/>
    </font>
    <font>
      <b/>
      <sz val="11"/>
      <color rgb="FFB23B2B"/>
      <name val="Arial"/>
      <charset val="1"/>
    </font>
    <font>
      <i/>
      <sz val="9.5"/>
      <color rgb="FF0E7C77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E2A38"/>
        <bgColor rgb="FF15262F"/>
      </patternFill>
    </fill>
    <fill>
      <patternFill patternType="solid">
        <fgColor rgb="FF0E7C77"/>
        <bgColor rgb="FF1F6B4F"/>
      </patternFill>
    </fill>
    <fill>
      <patternFill patternType="solid">
        <fgColor rgb="FFDCEFE4"/>
        <bgColor rgb="FFEFF5F4"/>
      </patternFill>
    </fill>
    <fill>
      <patternFill patternType="solid">
        <fgColor rgb="FFEFF5F4"/>
        <bgColor rgb="FFFFFFFF"/>
      </patternFill>
    </fill>
    <fill>
      <patternFill patternType="solid">
        <fgColor rgb="FFFBE3DE"/>
        <bgColor rgb="FFEFF5F4"/>
      </patternFill>
    </fill>
    <fill>
      <patternFill patternType="solid">
        <fgColor rgb="FFFFFFFF"/>
        <bgColor rgb="FFEFF5F4"/>
      </patternFill>
    </fill>
    <fill>
      <patternFill patternType="solid">
        <fgColor rgb="FF1F6B4F"/>
        <bgColor rgb="FF0E7C77"/>
      </patternFill>
    </fill>
    <fill>
      <patternFill patternType="solid">
        <fgColor rgb="FFB23B2B"/>
        <bgColor rgb="FF993366"/>
      </patternFill>
    </fill>
  </fills>
  <borders count="3">
    <border>
      <left/>
      <right/>
      <top/>
      <bottom/>
      <diagonal/>
    </border>
    <border>
      <left style="thin">
        <color rgb="FFD2DEDE"/>
      </left>
      <right style="thin">
        <color rgb="FFD2DEDE"/>
      </right>
      <top style="thin">
        <color rgb="FFD2DEDE"/>
      </top>
      <bottom style="thin">
        <color rgb="FFD2DEDE"/>
      </bottom>
      <diagonal/>
    </border>
    <border>
      <left/>
      <right style="thin">
        <color rgb="FFD2DEDE"/>
      </right>
      <top style="thin">
        <color rgb="FFD2DEDE"/>
      </top>
      <bottom style="thin">
        <color rgb="FFD2DEDE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top" wrapText="1"/>
    </xf>
    <xf numFmtId="0" fontId="17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164" fontId="21" fillId="3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25" fillId="5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  <xf numFmtId="0" fontId="25" fillId="7" borderId="1" xfId="0" applyFont="1" applyFill="1" applyBorder="1" applyAlignment="1">
      <alignment horizontal="left" vertical="top" wrapText="1"/>
    </xf>
    <xf numFmtId="0" fontId="26" fillId="7" borderId="1" xfId="0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27" fillId="7" borderId="1" xfId="0" applyFont="1" applyFill="1" applyBorder="1" applyAlignment="1">
      <alignment horizontal="left" vertical="top" wrapText="1"/>
    </xf>
    <xf numFmtId="0" fontId="0" fillId="0" borderId="2" xfId="0" applyBorder="1"/>
    <xf numFmtId="0" fontId="24" fillId="3" borderId="0" xfId="0" applyFont="1" applyFill="1" applyAlignment="1">
      <alignment horizontal="left" vertical="top" wrapText="1"/>
    </xf>
    <xf numFmtId="0" fontId="24" fillId="8" borderId="0" xfId="0" applyFont="1" applyFill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24" fillId="9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3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7"/>
      <rgbColor rgb="FFC0C0C0"/>
      <rgbColor rgb="FF808080"/>
      <rgbColor rgb="FF9999FF"/>
      <rgbColor rgb="FF993366"/>
      <rgbColor rgb="FFEFF5F4"/>
      <rgbColor rgb="FFCCFFFF"/>
      <rgbColor rgb="FF660066"/>
      <rgbColor rgb="FFFF8080"/>
      <rgbColor rgb="FF0066CC"/>
      <rgbColor rgb="FFD2DEDE"/>
      <rgbColor rgb="FF000080"/>
      <rgbColor rgb="FFFF00FF"/>
      <rgbColor rgb="FFFFFF00"/>
      <rgbColor rgb="FF00FFFF"/>
      <rgbColor rgb="FF800080"/>
      <rgbColor rgb="FF800000"/>
      <rgbColor rgb="FF1F6B4F"/>
      <rgbColor rgb="FF0000FF"/>
      <rgbColor rgb="FF00CCFF"/>
      <rgbColor rgb="FFCCFFFF"/>
      <rgbColor rgb="FFDCEFE4"/>
      <rgbColor rgb="FFFFFF99"/>
      <rgbColor rgb="FF99CCFF"/>
      <rgbColor rgb="FFFF99CC"/>
      <rgbColor rgb="FFCC99FF"/>
      <rgbColor rgb="FFFBE3DE"/>
      <rgbColor rgb="FF3366FF"/>
      <rgbColor rgb="FF33CCCC"/>
      <rgbColor rgb="FF99CC00"/>
      <rgbColor rgb="FFFFCC00"/>
      <rgbColor rgb="FFF2A516"/>
      <rgbColor rgb="FFFF6600"/>
      <rgbColor rgb="FF55636B"/>
      <rgbColor rgb="FF969696"/>
      <rgbColor rgb="FF0E2A38"/>
      <rgbColor rgb="FF339966"/>
      <rgbColor rgb="FF003300"/>
      <rgbColor rgb="FF333300"/>
      <rgbColor rgb="FFB23B2B"/>
      <rgbColor rgb="FF993366"/>
      <rgbColor rgb="FF333399"/>
      <rgbColor rgb="FF1526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0"/>
  <sheetViews>
    <sheetView showGridLines="0" tabSelected="1" zoomScaleNormal="100" workbookViewId="0">
      <selection activeCell="B12" sqref="B12"/>
    </sheetView>
  </sheetViews>
  <sheetFormatPr defaultColWidth="8.6328125" defaultRowHeight="14.5" x14ac:dyDescent="0.35"/>
  <cols>
    <col min="1" max="1" width="2" customWidth="1"/>
    <col min="2" max="2" width="27.54296875" bestFit="1" customWidth="1"/>
    <col min="3" max="6" width="26" customWidth="1"/>
    <col min="7" max="7" width="10" customWidth="1"/>
  </cols>
  <sheetData>
    <row r="2" spans="2:6" ht="33.75" customHeight="1" x14ac:dyDescent="0.35">
      <c r="B2" s="51" t="s">
        <v>0</v>
      </c>
      <c r="C2" s="49"/>
      <c r="D2" s="49"/>
      <c r="E2" s="49"/>
      <c r="F2" s="49"/>
    </row>
    <row r="3" spans="2:6" ht="21.75" customHeight="1" x14ac:dyDescent="0.35">
      <c r="B3" s="54" t="s">
        <v>1</v>
      </c>
      <c r="C3" s="49"/>
      <c r="D3" s="49"/>
      <c r="E3" s="49"/>
      <c r="F3" s="49"/>
    </row>
    <row r="5" spans="2:6" ht="16.149999999999999" customHeight="1" x14ac:dyDescent="0.35">
      <c r="B5" s="53" t="s">
        <v>2</v>
      </c>
      <c r="C5" s="49"/>
      <c r="D5" s="49"/>
      <c r="E5" s="49"/>
      <c r="F5" s="49"/>
    </row>
    <row r="6" spans="2:6" ht="33.75" customHeight="1" x14ac:dyDescent="0.35">
      <c r="B6" s="1" t="s">
        <v>3</v>
      </c>
      <c r="C6" s="48" t="s">
        <v>4</v>
      </c>
      <c r="D6" s="49"/>
      <c r="E6" s="49"/>
      <c r="F6" s="49"/>
    </row>
    <row r="7" spans="2:6" ht="33.75" customHeight="1" x14ac:dyDescent="0.35">
      <c r="B7" s="1" t="s">
        <v>5</v>
      </c>
      <c r="C7" s="48" t="s">
        <v>6</v>
      </c>
      <c r="D7" s="49"/>
      <c r="E7" s="49"/>
      <c r="F7" s="49"/>
    </row>
    <row r="8" spans="2:6" ht="33.75" customHeight="1" x14ac:dyDescent="0.35">
      <c r="B8" s="1" t="s">
        <v>7</v>
      </c>
      <c r="C8" s="48" t="s">
        <v>8</v>
      </c>
      <c r="D8" s="49"/>
      <c r="E8" s="49"/>
      <c r="F8" s="49"/>
    </row>
    <row r="10" spans="2:6" ht="16.149999999999999" customHeight="1" x14ac:dyDescent="0.35">
      <c r="B10" s="53" t="s">
        <v>9</v>
      </c>
      <c r="C10" s="49"/>
      <c r="D10" s="49"/>
      <c r="E10" s="49"/>
      <c r="F10" s="49"/>
    </row>
    <row r="11" spans="2:6" ht="19.5" customHeight="1" x14ac:dyDescent="0.35">
      <c r="B11" s="2" t="s">
        <v>10</v>
      </c>
      <c r="C11" s="48" t="s">
        <v>11</v>
      </c>
      <c r="D11" s="49"/>
      <c r="E11" s="49"/>
      <c r="F11" s="49"/>
    </row>
    <row r="12" spans="2:6" ht="19.5" customHeight="1" x14ac:dyDescent="0.35">
      <c r="B12" s="2" t="s">
        <v>12</v>
      </c>
      <c r="C12" s="48" t="s">
        <v>13</v>
      </c>
      <c r="D12" s="49"/>
      <c r="E12" s="49"/>
      <c r="F12" s="49"/>
    </row>
    <row r="13" spans="2:6" ht="19.5" customHeight="1" x14ac:dyDescent="0.35">
      <c r="B13" s="2" t="s">
        <v>14</v>
      </c>
      <c r="C13" s="48" t="s">
        <v>15</v>
      </c>
      <c r="D13" s="49"/>
      <c r="E13" s="49"/>
      <c r="F13" s="49"/>
    </row>
    <row r="14" spans="2:6" ht="19.5" customHeight="1" x14ac:dyDescent="0.35">
      <c r="B14" s="2" t="s">
        <v>16</v>
      </c>
      <c r="C14" s="48" t="s">
        <v>17</v>
      </c>
      <c r="D14" s="49"/>
      <c r="E14" s="49"/>
      <c r="F14" s="49"/>
    </row>
    <row r="16" spans="2:6" ht="15" customHeight="1" x14ac:dyDescent="0.35">
      <c r="B16" s="52" t="s">
        <v>18</v>
      </c>
      <c r="C16" s="49"/>
      <c r="D16" s="49"/>
      <c r="E16" s="49"/>
      <c r="F16" s="49"/>
    </row>
    <row r="17" spans="2:6" ht="69.75" customHeight="1" x14ac:dyDescent="0.35">
      <c r="B17" s="50" t="s">
        <v>19</v>
      </c>
      <c r="C17" s="49"/>
      <c r="D17" s="49"/>
      <c r="E17" s="49"/>
      <c r="F17" s="49"/>
    </row>
    <row r="18" spans="2:6" ht="15" customHeight="1" x14ac:dyDescent="0.35">
      <c r="B18" s="49"/>
      <c r="C18" s="49"/>
      <c r="D18" s="49"/>
      <c r="E18" s="49"/>
      <c r="F18" s="49"/>
    </row>
    <row r="19" spans="2:6" ht="15" customHeight="1" x14ac:dyDescent="0.35">
      <c r="B19" s="49"/>
      <c r="C19" s="49"/>
      <c r="D19" s="49"/>
      <c r="E19" s="49"/>
      <c r="F19" s="49"/>
    </row>
    <row r="20" spans="2:6" ht="15" customHeight="1" x14ac:dyDescent="0.35">
      <c r="B20" s="49"/>
      <c r="C20" s="49"/>
      <c r="D20" s="49"/>
      <c r="E20" s="49"/>
      <c r="F20" s="49"/>
    </row>
  </sheetData>
  <mergeCells count="13">
    <mergeCell ref="C13:F13"/>
    <mergeCell ref="B17:F20"/>
    <mergeCell ref="C8:F8"/>
    <mergeCell ref="B2:F2"/>
    <mergeCell ref="B16:F16"/>
    <mergeCell ref="B10:F10"/>
    <mergeCell ref="C12:F12"/>
    <mergeCell ref="B3:F3"/>
    <mergeCell ref="B5:F5"/>
    <mergeCell ref="C6:F6"/>
    <mergeCell ref="C7:F7"/>
    <mergeCell ref="C11:F11"/>
    <mergeCell ref="C14:F14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8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6328125" defaultRowHeight="14.5" x14ac:dyDescent="0.35"/>
  <cols>
    <col min="1" max="1" width="4" customWidth="1"/>
    <col min="2" max="2" width="21" customWidth="1"/>
    <col min="3" max="3" width="19" customWidth="1"/>
    <col min="4" max="4" width="29" customWidth="1"/>
    <col min="5" max="5" width="8" customWidth="1"/>
    <col min="6" max="6" width="15" customWidth="1"/>
    <col min="7" max="7" width="17" customWidth="1"/>
    <col min="8" max="8" width="11" customWidth="1"/>
    <col min="9" max="9" width="25" customWidth="1"/>
    <col min="10" max="11" width="40" customWidth="1"/>
    <col min="12" max="12" width="10" customWidth="1"/>
    <col min="13" max="13" width="15" customWidth="1"/>
  </cols>
  <sheetData>
    <row r="1" spans="1:13" ht="27.75" customHeight="1" x14ac:dyDescent="0.35">
      <c r="A1" s="57" t="s">
        <v>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19.5" customHeight="1" x14ac:dyDescent="0.35">
      <c r="A2" s="55" t="s">
        <v>21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33.75" customHeight="1" x14ac:dyDescent="0.3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 spans="1:13" ht="57.75" customHeight="1" x14ac:dyDescent="0.35">
      <c r="A4" s="4">
        <v>1</v>
      </c>
      <c r="B4" s="5" t="s">
        <v>35</v>
      </c>
      <c r="C4" s="6" t="s">
        <v>36</v>
      </c>
      <c r="D4" s="6" t="s">
        <v>37</v>
      </c>
      <c r="E4" s="7">
        <v>2017</v>
      </c>
      <c r="F4" s="6" t="s">
        <v>38</v>
      </c>
      <c r="G4" s="6" t="s">
        <v>39</v>
      </c>
      <c r="H4" s="8">
        <v>7</v>
      </c>
      <c r="I4" s="9" t="s">
        <v>40</v>
      </c>
      <c r="J4" s="9" t="s">
        <v>41</v>
      </c>
      <c r="K4" s="9" t="s">
        <v>42</v>
      </c>
      <c r="L4" s="10" t="s">
        <v>43</v>
      </c>
      <c r="M4" s="11" t="s">
        <v>44</v>
      </c>
    </row>
    <row r="5" spans="1:13" ht="57.75" customHeight="1" x14ac:dyDescent="0.35">
      <c r="A5" s="12">
        <v>2</v>
      </c>
      <c r="B5" s="13" t="s">
        <v>45</v>
      </c>
      <c r="C5" s="14" t="s">
        <v>46</v>
      </c>
      <c r="D5" s="14" t="s">
        <v>47</v>
      </c>
      <c r="E5" s="15">
        <v>2021</v>
      </c>
      <c r="F5" s="14" t="s">
        <v>48</v>
      </c>
      <c r="G5" s="14" t="s">
        <v>39</v>
      </c>
      <c r="H5" s="16">
        <v>64</v>
      </c>
      <c r="I5" s="17" t="s">
        <v>49</v>
      </c>
      <c r="J5" s="17" t="s">
        <v>50</v>
      </c>
      <c r="K5" s="17" t="s">
        <v>51</v>
      </c>
      <c r="L5" s="18" t="s">
        <v>43</v>
      </c>
      <c r="M5" s="19"/>
    </row>
    <row r="6" spans="1:13" ht="57.75" customHeight="1" x14ac:dyDescent="0.35">
      <c r="A6" s="20">
        <v>3</v>
      </c>
      <c r="B6" s="21" t="s">
        <v>52</v>
      </c>
      <c r="C6" s="22" t="s">
        <v>53</v>
      </c>
      <c r="D6" s="22" t="s">
        <v>54</v>
      </c>
      <c r="E6" s="23">
        <v>2015</v>
      </c>
      <c r="F6" s="22" t="s">
        <v>55</v>
      </c>
      <c r="G6" s="22" t="s">
        <v>56</v>
      </c>
      <c r="H6" s="24">
        <v>90</v>
      </c>
      <c r="I6" s="25" t="s">
        <v>57</v>
      </c>
      <c r="J6" s="25" t="s">
        <v>58</v>
      </c>
      <c r="K6" s="25" t="s">
        <v>59</v>
      </c>
      <c r="L6" s="26"/>
      <c r="M6" s="27" t="s">
        <v>60</v>
      </c>
    </row>
    <row r="7" spans="1:13" ht="57.75" customHeight="1" x14ac:dyDescent="0.35">
      <c r="A7" s="12">
        <v>4</v>
      </c>
      <c r="B7" s="13" t="s">
        <v>61</v>
      </c>
      <c r="C7" s="14" t="s">
        <v>62</v>
      </c>
      <c r="D7" s="14" t="s">
        <v>63</v>
      </c>
      <c r="E7" s="15">
        <v>2014</v>
      </c>
      <c r="F7" s="14" t="s">
        <v>64</v>
      </c>
      <c r="G7" s="14" t="s">
        <v>65</v>
      </c>
      <c r="H7" s="16">
        <v>28</v>
      </c>
      <c r="I7" s="17" t="s">
        <v>66</v>
      </c>
      <c r="J7" s="17" t="s">
        <v>67</v>
      </c>
      <c r="K7" s="17" t="s">
        <v>68</v>
      </c>
      <c r="L7" s="18"/>
      <c r="M7" s="19"/>
    </row>
    <row r="8" spans="1:13" ht="57.75" customHeight="1" x14ac:dyDescent="0.35">
      <c r="A8" s="28">
        <v>5</v>
      </c>
      <c r="B8" s="29" t="s">
        <v>69</v>
      </c>
      <c r="C8" s="30" t="s">
        <v>70</v>
      </c>
      <c r="D8" s="30" t="s">
        <v>71</v>
      </c>
      <c r="E8" s="31">
        <v>2017</v>
      </c>
      <c r="F8" s="30" t="s">
        <v>72</v>
      </c>
      <c r="G8" s="30" t="s">
        <v>73</v>
      </c>
      <c r="H8" s="28" t="s">
        <v>74</v>
      </c>
      <c r="I8" s="32" t="s">
        <v>74</v>
      </c>
      <c r="J8" s="32" t="s">
        <v>75</v>
      </c>
      <c r="K8" s="32" t="s">
        <v>76</v>
      </c>
      <c r="L8" s="33"/>
      <c r="M8" s="34"/>
    </row>
    <row r="9" spans="1:13" ht="57.75" customHeight="1" x14ac:dyDescent="0.35">
      <c r="A9" s="12">
        <v>6</v>
      </c>
      <c r="B9" s="13" t="s">
        <v>77</v>
      </c>
      <c r="C9" s="14" t="s">
        <v>78</v>
      </c>
      <c r="D9" s="14" t="s">
        <v>79</v>
      </c>
      <c r="E9" s="15">
        <v>2018</v>
      </c>
      <c r="F9" s="14" t="s">
        <v>80</v>
      </c>
      <c r="G9" s="14" t="s">
        <v>39</v>
      </c>
      <c r="H9" s="16">
        <v>15</v>
      </c>
      <c r="I9" s="17" t="s">
        <v>81</v>
      </c>
      <c r="J9" s="17" t="s">
        <v>82</v>
      </c>
      <c r="K9" s="17" t="s">
        <v>83</v>
      </c>
      <c r="L9" s="18" t="s">
        <v>43</v>
      </c>
      <c r="M9" s="19"/>
    </row>
    <row r="10" spans="1:13" ht="57.75" customHeight="1" x14ac:dyDescent="0.35">
      <c r="A10" s="28">
        <v>7</v>
      </c>
      <c r="B10" s="29" t="s">
        <v>84</v>
      </c>
      <c r="C10" s="30" t="s">
        <v>85</v>
      </c>
      <c r="D10" s="30" t="s">
        <v>86</v>
      </c>
      <c r="E10" s="31">
        <v>2015</v>
      </c>
      <c r="F10" s="30" t="s">
        <v>87</v>
      </c>
      <c r="G10" s="30" t="s">
        <v>39</v>
      </c>
      <c r="H10" s="35">
        <v>5</v>
      </c>
      <c r="I10" s="32" t="s">
        <v>88</v>
      </c>
      <c r="J10" s="32" t="s">
        <v>89</v>
      </c>
      <c r="K10" s="32" t="s">
        <v>90</v>
      </c>
      <c r="L10" s="33"/>
      <c r="M10" s="34"/>
    </row>
    <row r="11" spans="1:13" ht="57.75" customHeight="1" x14ac:dyDescent="0.35">
      <c r="A11" s="12">
        <v>8</v>
      </c>
      <c r="B11" s="13" t="s">
        <v>91</v>
      </c>
      <c r="C11" s="14" t="s">
        <v>92</v>
      </c>
      <c r="D11" s="14" t="s">
        <v>93</v>
      </c>
      <c r="E11" s="15">
        <v>2020</v>
      </c>
      <c r="F11" s="14" t="s">
        <v>64</v>
      </c>
      <c r="G11" s="14" t="s">
        <v>94</v>
      </c>
      <c r="H11" s="12" t="s">
        <v>74</v>
      </c>
      <c r="I11" s="17" t="s">
        <v>95</v>
      </c>
      <c r="J11" s="17" t="s">
        <v>96</v>
      </c>
      <c r="K11" s="17" t="s">
        <v>97</v>
      </c>
      <c r="L11" s="18"/>
      <c r="M11" s="19"/>
    </row>
    <row r="12" spans="1:13" ht="57.75" customHeight="1" x14ac:dyDescent="0.35">
      <c r="A12" s="28">
        <v>9</v>
      </c>
      <c r="B12" s="29" t="s">
        <v>98</v>
      </c>
      <c r="C12" s="30" t="s">
        <v>99</v>
      </c>
      <c r="D12" s="30" t="s">
        <v>100</v>
      </c>
      <c r="E12" s="31">
        <v>2019</v>
      </c>
      <c r="F12" s="30" t="s">
        <v>101</v>
      </c>
      <c r="G12" s="30" t="s">
        <v>102</v>
      </c>
      <c r="H12" s="28" t="s">
        <v>74</v>
      </c>
      <c r="I12" s="32" t="s">
        <v>103</v>
      </c>
      <c r="J12" s="32" t="s">
        <v>104</v>
      </c>
      <c r="K12" s="32" t="s">
        <v>105</v>
      </c>
      <c r="L12" s="33"/>
      <c r="M12" s="34"/>
    </row>
    <row r="13" spans="1:13" ht="57.75" customHeight="1" x14ac:dyDescent="0.35">
      <c r="A13" s="12">
        <v>10</v>
      </c>
      <c r="B13" s="13" t="s">
        <v>106</v>
      </c>
      <c r="C13" s="14" t="s">
        <v>99</v>
      </c>
      <c r="D13" s="14" t="s">
        <v>107</v>
      </c>
      <c r="E13" s="15">
        <v>2021</v>
      </c>
      <c r="F13" s="14" t="s">
        <v>108</v>
      </c>
      <c r="G13" s="14" t="s">
        <v>102</v>
      </c>
      <c r="H13" s="12" t="s">
        <v>74</v>
      </c>
      <c r="I13" s="17" t="s">
        <v>109</v>
      </c>
      <c r="J13" s="17" t="s">
        <v>110</v>
      </c>
      <c r="K13" s="17" t="s">
        <v>111</v>
      </c>
      <c r="L13" s="18"/>
      <c r="M13" s="19"/>
    </row>
    <row r="14" spans="1:13" ht="57.75" customHeight="1" x14ac:dyDescent="0.35">
      <c r="A14" s="28">
        <v>11</v>
      </c>
      <c r="B14" s="29" t="s">
        <v>112</v>
      </c>
      <c r="C14" s="30" t="s">
        <v>113</v>
      </c>
      <c r="D14" s="30" t="s">
        <v>114</v>
      </c>
      <c r="E14" s="31">
        <v>2021</v>
      </c>
      <c r="F14" s="30" t="s">
        <v>55</v>
      </c>
      <c r="G14" s="30" t="s">
        <v>115</v>
      </c>
      <c r="H14" s="35">
        <v>4</v>
      </c>
      <c r="I14" s="32" t="s">
        <v>116</v>
      </c>
      <c r="J14" s="32" t="s">
        <v>117</v>
      </c>
      <c r="K14" s="32" t="s">
        <v>118</v>
      </c>
      <c r="L14" s="33" t="s">
        <v>43</v>
      </c>
      <c r="M14" s="34"/>
    </row>
    <row r="15" spans="1:13" ht="57.75" customHeight="1" x14ac:dyDescent="0.35">
      <c r="A15" s="12">
        <v>12</v>
      </c>
      <c r="B15" s="13" t="s">
        <v>119</v>
      </c>
      <c r="C15" s="14" t="s">
        <v>120</v>
      </c>
      <c r="D15" s="14" t="s">
        <v>121</v>
      </c>
      <c r="E15" s="15">
        <v>2018</v>
      </c>
      <c r="F15" s="14" t="s">
        <v>122</v>
      </c>
      <c r="G15" s="14" t="s">
        <v>123</v>
      </c>
      <c r="H15" s="16">
        <v>10</v>
      </c>
      <c r="I15" s="17" t="s">
        <v>124</v>
      </c>
      <c r="J15" s="17" t="s">
        <v>125</v>
      </c>
      <c r="K15" s="17" t="s">
        <v>126</v>
      </c>
      <c r="L15" s="18"/>
      <c r="M15" s="19"/>
    </row>
    <row r="16" spans="1:13" ht="57.75" customHeight="1" x14ac:dyDescent="0.35">
      <c r="A16" s="28">
        <v>13</v>
      </c>
      <c r="B16" s="29" t="s">
        <v>127</v>
      </c>
      <c r="C16" s="30" t="s">
        <v>128</v>
      </c>
      <c r="D16" s="30" t="s">
        <v>129</v>
      </c>
      <c r="E16" s="31">
        <v>2013</v>
      </c>
      <c r="F16" s="30" t="s">
        <v>130</v>
      </c>
      <c r="G16" s="30" t="s">
        <v>73</v>
      </c>
      <c r="H16" s="28" t="s">
        <v>74</v>
      </c>
      <c r="I16" s="32" t="s">
        <v>131</v>
      </c>
      <c r="J16" s="32" t="s">
        <v>132</v>
      </c>
      <c r="K16" s="32" t="s">
        <v>133</v>
      </c>
      <c r="L16" s="33"/>
      <c r="M16" s="34"/>
    </row>
    <row r="17" spans="1:13" ht="57.75" customHeight="1" x14ac:dyDescent="0.35">
      <c r="A17" s="12">
        <v>14</v>
      </c>
      <c r="B17" s="13" t="s">
        <v>134</v>
      </c>
      <c r="C17" s="14" t="s">
        <v>135</v>
      </c>
      <c r="D17" s="14" t="s">
        <v>136</v>
      </c>
      <c r="E17" s="15">
        <v>2018</v>
      </c>
      <c r="F17" s="14" t="s">
        <v>38</v>
      </c>
      <c r="G17" s="14" t="s">
        <v>137</v>
      </c>
      <c r="H17" s="12" t="s">
        <v>74</v>
      </c>
      <c r="I17" s="17" t="s">
        <v>138</v>
      </c>
      <c r="J17" s="17" t="s">
        <v>139</v>
      </c>
      <c r="K17" s="17" t="s">
        <v>140</v>
      </c>
      <c r="L17" s="18"/>
      <c r="M17" s="19"/>
    </row>
    <row r="18" spans="1:13" ht="57.75" customHeight="1" x14ac:dyDescent="0.35">
      <c r="A18" s="28">
        <v>15</v>
      </c>
      <c r="B18" s="29" t="s">
        <v>141</v>
      </c>
      <c r="C18" s="30" t="s">
        <v>142</v>
      </c>
      <c r="D18" s="30" t="s">
        <v>143</v>
      </c>
      <c r="E18" s="31">
        <v>2009</v>
      </c>
      <c r="F18" s="30" t="s">
        <v>144</v>
      </c>
      <c r="G18" s="30" t="s">
        <v>145</v>
      </c>
      <c r="H18" s="28" t="s">
        <v>74</v>
      </c>
      <c r="I18" s="32" t="s">
        <v>145</v>
      </c>
      <c r="J18" s="32" t="s">
        <v>146</v>
      </c>
      <c r="K18" s="32" t="s">
        <v>147</v>
      </c>
      <c r="L18" s="33"/>
      <c r="M18" s="34"/>
    </row>
    <row r="19" spans="1:13" ht="57.75" customHeight="1" x14ac:dyDescent="0.35">
      <c r="A19" s="12">
        <v>16</v>
      </c>
      <c r="B19" s="13" t="s">
        <v>148</v>
      </c>
      <c r="C19" s="14" t="s">
        <v>149</v>
      </c>
      <c r="D19" s="14" t="s">
        <v>150</v>
      </c>
      <c r="E19" s="15">
        <v>2018</v>
      </c>
      <c r="F19" s="14" t="s">
        <v>151</v>
      </c>
      <c r="G19" s="14" t="s">
        <v>152</v>
      </c>
      <c r="H19" s="16">
        <v>127</v>
      </c>
      <c r="I19" s="17" t="s">
        <v>153</v>
      </c>
      <c r="J19" s="17" t="s">
        <v>154</v>
      </c>
      <c r="K19" s="17" t="s">
        <v>155</v>
      </c>
      <c r="L19" s="18" t="s">
        <v>43</v>
      </c>
      <c r="M19" s="19"/>
    </row>
    <row r="20" spans="1:13" ht="57.75" customHeight="1" x14ac:dyDescent="0.35">
      <c r="A20" s="28">
        <v>17</v>
      </c>
      <c r="B20" s="29" t="s">
        <v>156</v>
      </c>
      <c r="C20" s="30" t="s">
        <v>157</v>
      </c>
      <c r="D20" s="30" t="s">
        <v>158</v>
      </c>
      <c r="E20" s="31">
        <v>2021</v>
      </c>
      <c r="F20" s="30" t="s">
        <v>55</v>
      </c>
      <c r="G20" s="30" t="s">
        <v>159</v>
      </c>
      <c r="H20" s="28" t="s">
        <v>74</v>
      </c>
      <c r="I20" s="32" t="s">
        <v>160</v>
      </c>
      <c r="J20" s="32" t="s">
        <v>161</v>
      </c>
      <c r="K20" s="32" t="s">
        <v>162</v>
      </c>
      <c r="L20" s="33"/>
      <c r="M20" s="34"/>
    </row>
    <row r="21" spans="1:13" ht="57.75" customHeight="1" x14ac:dyDescent="0.35">
      <c r="A21" s="12">
        <v>18</v>
      </c>
      <c r="B21" s="13" t="s">
        <v>163</v>
      </c>
      <c r="C21" s="14" t="s">
        <v>164</v>
      </c>
      <c r="D21" s="14" t="s">
        <v>165</v>
      </c>
      <c r="E21" s="15">
        <v>2019</v>
      </c>
      <c r="F21" s="14" t="s">
        <v>72</v>
      </c>
      <c r="G21" s="14" t="s">
        <v>65</v>
      </c>
      <c r="H21" s="16">
        <v>147</v>
      </c>
      <c r="I21" s="17" t="s">
        <v>166</v>
      </c>
      <c r="J21" s="17" t="s">
        <v>167</v>
      </c>
      <c r="K21" s="17" t="s">
        <v>168</v>
      </c>
      <c r="L21" s="18"/>
      <c r="M21" s="19" t="s">
        <v>169</v>
      </c>
    </row>
    <row r="22" spans="1:13" ht="57.75" customHeight="1" x14ac:dyDescent="0.35">
      <c r="A22" s="28">
        <v>19</v>
      </c>
      <c r="B22" s="29" t="s">
        <v>170</v>
      </c>
      <c r="C22" s="30" t="s">
        <v>171</v>
      </c>
      <c r="D22" s="30" t="s">
        <v>172</v>
      </c>
      <c r="E22" s="31">
        <v>2017</v>
      </c>
      <c r="F22" s="30" t="s">
        <v>55</v>
      </c>
      <c r="G22" s="30" t="s">
        <v>173</v>
      </c>
      <c r="H22" s="35">
        <v>135</v>
      </c>
      <c r="I22" s="32" t="s">
        <v>174</v>
      </c>
      <c r="J22" s="32" t="s">
        <v>175</v>
      </c>
      <c r="K22" s="32" t="s">
        <v>176</v>
      </c>
      <c r="L22" s="33"/>
      <c r="M22" s="34"/>
    </row>
    <row r="23" spans="1:13" ht="57.75" customHeight="1" x14ac:dyDescent="0.35">
      <c r="A23" s="12">
        <v>20</v>
      </c>
      <c r="B23" s="13" t="s">
        <v>177</v>
      </c>
      <c r="C23" s="14" t="s">
        <v>178</v>
      </c>
      <c r="D23" s="14" t="s">
        <v>179</v>
      </c>
      <c r="E23" s="15">
        <v>2019</v>
      </c>
      <c r="F23" s="14" t="s">
        <v>38</v>
      </c>
      <c r="G23" s="14" t="s">
        <v>180</v>
      </c>
      <c r="H23" s="16">
        <v>18</v>
      </c>
      <c r="I23" s="17" t="s">
        <v>181</v>
      </c>
      <c r="J23" s="17" t="s">
        <v>182</v>
      </c>
      <c r="K23" s="17" t="s">
        <v>183</v>
      </c>
      <c r="L23" s="18"/>
      <c r="M23" s="19"/>
    </row>
    <row r="24" spans="1:13" ht="57.75" customHeight="1" x14ac:dyDescent="0.35">
      <c r="A24" s="28">
        <v>21</v>
      </c>
      <c r="B24" s="29" t="s">
        <v>184</v>
      </c>
      <c r="C24" s="30" t="s">
        <v>185</v>
      </c>
      <c r="D24" s="30" t="s">
        <v>186</v>
      </c>
      <c r="E24" s="31">
        <v>1994</v>
      </c>
      <c r="F24" s="30" t="s">
        <v>187</v>
      </c>
      <c r="G24" s="30" t="s">
        <v>188</v>
      </c>
      <c r="H24" s="28" t="s">
        <v>74</v>
      </c>
      <c r="I24" s="32" t="s">
        <v>189</v>
      </c>
      <c r="J24" s="32" t="s">
        <v>190</v>
      </c>
      <c r="K24" s="32" t="s">
        <v>191</v>
      </c>
      <c r="L24" s="33"/>
      <c r="M24" s="34" t="s">
        <v>192</v>
      </c>
    </row>
    <row r="25" spans="1:13" ht="19.5" customHeight="1" x14ac:dyDescent="0.35">
      <c r="A25" s="36"/>
      <c r="B25" s="37" t="s">
        <v>193</v>
      </c>
      <c r="C25" s="36"/>
      <c r="D25" s="36"/>
      <c r="E25" s="36"/>
      <c r="F25" s="36"/>
      <c r="G25" s="36"/>
      <c r="H25" s="38">
        <f>SUM(H4:H24)</f>
        <v>650</v>
      </c>
      <c r="I25" s="36"/>
      <c r="J25" s="36"/>
      <c r="K25" s="36"/>
      <c r="L25" s="36"/>
      <c r="M25" s="36"/>
    </row>
    <row r="27" spans="1:13" ht="15" customHeight="1" x14ac:dyDescent="0.35">
      <c r="A27" s="56" t="s">
        <v>194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5" customHeight="1" x14ac:dyDescent="0.3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</sheetData>
  <mergeCells count="3">
    <mergeCell ref="A2:M2"/>
    <mergeCell ref="A27:M28"/>
    <mergeCell ref="A1:M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2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0" customWidth="1"/>
    <col min="3" max="3" width="60" customWidth="1"/>
    <col min="4" max="4" width="34" customWidth="1"/>
  </cols>
  <sheetData>
    <row r="2" spans="2:4" ht="30" customHeight="1" x14ac:dyDescent="0.35">
      <c r="B2" s="64" t="s">
        <v>195</v>
      </c>
      <c r="C2" s="49"/>
      <c r="D2" s="49"/>
    </row>
    <row r="3" spans="2:4" ht="19.5" customHeight="1" x14ac:dyDescent="0.35">
      <c r="B3" s="54" t="s">
        <v>196</v>
      </c>
      <c r="C3" s="49"/>
      <c r="D3" s="49"/>
    </row>
    <row r="5" spans="2:4" ht="24" customHeight="1" x14ac:dyDescent="0.35">
      <c r="B5" s="60" t="s">
        <v>197</v>
      </c>
      <c r="C5" s="49"/>
      <c r="D5" s="49"/>
    </row>
    <row r="6" spans="2:4" ht="15" customHeight="1" x14ac:dyDescent="0.35">
      <c r="B6" s="39" t="s">
        <v>23</v>
      </c>
      <c r="C6" s="39" t="s">
        <v>198</v>
      </c>
      <c r="D6" s="39" t="s">
        <v>199</v>
      </c>
    </row>
    <row r="7" spans="2:4" ht="57.75" customHeight="1" x14ac:dyDescent="0.35">
      <c r="B7" s="13" t="s">
        <v>35</v>
      </c>
      <c r="C7" s="40" t="s">
        <v>200</v>
      </c>
      <c r="D7" s="41" t="s">
        <v>201</v>
      </c>
    </row>
    <row r="8" spans="2:4" ht="57.75" customHeight="1" x14ac:dyDescent="0.35">
      <c r="B8" s="29" t="s">
        <v>45</v>
      </c>
      <c r="C8" s="42" t="s">
        <v>202</v>
      </c>
      <c r="D8" s="43" t="s">
        <v>203</v>
      </c>
    </row>
    <row r="9" spans="2:4" ht="57.75" customHeight="1" x14ac:dyDescent="0.35">
      <c r="B9" s="13" t="s">
        <v>112</v>
      </c>
      <c r="C9" s="40" t="s">
        <v>204</v>
      </c>
      <c r="D9" s="41" t="s">
        <v>205</v>
      </c>
    </row>
    <row r="10" spans="2:4" ht="57.75" customHeight="1" x14ac:dyDescent="0.35">
      <c r="B10" s="29" t="s">
        <v>77</v>
      </c>
      <c r="C10" s="42" t="s">
        <v>206</v>
      </c>
      <c r="D10" s="43" t="s">
        <v>207</v>
      </c>
    </row>
    <row r="11" spans="2:4" ht="57.75" customHeight="1" x14ac:dyDescent="0.35">
      <c r="B11" s="13" t="s">
        <v>148</v>
      </c>
      <c r="C11" s="40" t="s">
        <v>208</v>
      </c>
      <c r="D11" s="41" t="s">
        <v>209</v>
      </c>
    </row>
    <row r="12" spans="2:4" ht="39.75" customHeight="1" x14ac:dyDescent="0.35">
      <c r="B12" s="44" t="s">
        <v>210</v>
      </c>
      <c r="C12" s="58" t="s">
        <v>211</v>
      </c>
      <c r="D12" s="59"/>
    </row>
    <row r="14" spans="2:4" ht="24" customHeight="1" x14ac:dyDescent="0.35">
      <c r="B14" s="61" t="s">
        <v>212</v>
      </c>
      <c r="C14" s="49"/>
      <c r="D14" s="49"/>
    </row>
    <row r="15" spans="2:4" ht="33.75" customHeight="1" x14ac:dyDescent="0.35">
      <c r="B15" s="45" t="s">
        <v>213</v>
      </c>
      <c r="C15" s="62" t="s">
        <v>214</v>
      </c>
      <c r="D15" s="59"/>
    </row>
    <row r="16" spans="2:4" ht="33.75" customHeight="1" x14ac:dyDescent="0.35">
      <c r="B16" s="45" t="s">
        <v>213</v>
      </c>
      <c r="C16" s="62" t="s">
        <v>215</v>
      </c>
      <c r="D16" s="59"/>
    </row>
    <row r="17" spans="2:4" ht="33.75" customHeight="1" x14ac:dyDescent="0.35">
      <c r="B17" s="45" t="s">
        <v>213</v>
      </c>
      <c r="C17" s="62" t="s">
        <v>216</v>
      </c>
      <c r="D17" s="59"/>
    </row>
    <row r="18" spans="2:4" ht="33.75" customHeight="1" x14ac:dyDescent="0.35">
      <c r="B18" s="45" t="s">
        <v>213</v>
      </c>
      <c r="C18" s="62" t="s">
        <v>217</v>
      </c>
      <c r="D18" s="59"/>
    </row>
    <row r="19" spans="2:4" ht="33.75" customHeight="1" x14ac:dyDescent="0.35">
      <c r="B19" s="45" t="s">
        <v>213</v>
      </c>
      <c r="C19" s="62" t="s">
        <v>218</v>
      </c>
      <c r="D19" s="59"/>
    </row>
    <row r="21" spans="2:4" ht="24" customHeight="1" x14ac:dyDescent="0.35">
      <c r="B21" s="63" t="s">
        <v>219</v>
      </c>
      <c r="C21" s="49"/>
      <c r="D21" s="49"/>
    </row>
    <row r="22" spans="2:4" ht="31.5" customHeight="1" x14ac:dyDescent="0.35">
      <c r="B22" s="46" t="s">
        <v>213</v>
      </c>
      <c r="C22" s="62" t="s">
        <v>220</v>
      </c>
      <c r="D22" s="59"/>
    </row>
    <row r="23" spans="2:4" ht="31.5" customHeight="1" x14ac:dyDescent="0.35">
      <c r="B23" s="46" t="s">
        <v>213</v>
      </c>
      <c r="C23" s="62" t="s">
        <v>221</v>
      </c>
      <c r="D23" s="59"/>
    </row>
    <row r="24" spans="2:4" ht="31.5" customHeight="1" x14ac:dyDescent="0.35">
      <c r="B24" s="46" t="s">
        <v>213</v>
      </c>
      <c r="C24" s="62" t="s">
        <v>222</v>
      </c>
      <c r="D24" s="59"/>
    </row>
    <row r="25" spans="2:4" ht="31.5" customHeight="1" x14ac:dyDescent="0.35">
      <c r="B25" s="46" t="s">
        <v>213</v>
      </c>
      <c r="C25" s="62" t="s">
        <v>223</v>
      </c>
      <c r="D25" s="59"/>
    </row>
  </sheetData>
  <mergeCells count="15">
    <mergeCell ref="B2:D2"/>
    <mergeCell ref="C25:D25"/>
    <mergeCell ref="C19:D19"/>
    <mergeCell ref="B21:D21"/>
    <mergeCell ref="C22:D22"/>
    <mergeCell ref="C18:D18"/>
    <mergeCell ref="C23:D23"/>
    <mergeCell ref="C12:D12"/>
    <mergeCell ref="B3:D3"/>
    <mergeCell ref="B5:D5"/>
    <mergeCell ref="B14:D14"/>
    <mergeCell ref="C24:D24"/>
    <mergeCell ref="C16:D16"/>
    <mergeCell ref="C17:D17"/>
    <mergeCell ref="C15:D15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1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3" width="24" customWidth="1"/>
    <col min="4" max="4" width="62" customWidth="1"/>
  </cols>
  <sheetData>
    <row r="2" spans="2:4" ht="27.75" customHeight="1" x14ac:dyDescent="0.35">
      <c r="B2" s="57" t="s">
        <v>224</v>
      </c>
      <c r="C2" s="49"/>
      <c r="D2" s="49"/>
    </row>
    <row r="3" spans="2:4" ht="30" customHeight="1" x14ac:dyDescent="0.35">
      <c r="B3" s="55" t="s">
        <v>225</v>
      </c>
      <c r="C3" s="49"/>
      <c r="D3" s="49"/>
    </row>
    <row r="5" spans="2:4" ht="15" customHeight="1" x14ac:dyDescent="0.35">
      <c r="B5" s="47" t="s">
        <v>226</v>
      </c>
      <c r="C5" s="47" t="s">
        <v>227</v>
      </c>
      <c r="D5" s="47" t="s">
        <v>228</v>
      </c>
    </row>
    <row r="6" spans="2:4" ht="30" customHeight="1" x14ac:dyDescent="0.35">
      <c r="B6" s="29" t="s">
        <v>229</v>
      </c>
      <c r="C6" s="42" t="s">
        <v>230</v>
      </c>
      <c r="D6" s="42" t="s">
        <v>231</v>
      </c>
    </row>
    <row r="7" spans="2:4" ht="30" customHeight="1" x14ac:dyDescent="0.35">
      <c r="B7" s="13" t="s">
        <v>232</v>
      </c>
      <c r="C7" s="40" t="s">
        <v>233</v>
      </c>
      <c r="D7" s="40" t="s">
        <v>234</v>
      </c>
    </row>
    <row r="8" spans="2:4" ht="30" customHeight="1" x14ac:dyDescent="0.35">
      <c r="B8" s="29" t="s">
        <v>235</v>
      </c>
      <c r="C8" s="42" t="s">
        <v>236</v>
      </c>
      <c r="D8" s="42" t="s">
        <v>237</v>
      </c>
    </row>
    <row r="9" spans="2:4" ht="30" customHeight="1" x14ac:dyDescent="0.35">
      <c r="B9" s="13" t="s">
        <v>238</v>
      </c>
      <c r="C9" s="40" t="s">
        <v>239</v>
      </c>
      <c r="D9" s="40" t="s">
        <v>240</v>
      </c>
    </row>
    <row r="10" spans="2:4" ht="30" customHeight="1" x14ac:dyDescent="0.35">
      <c r="B10" s="29" t="s">
        <v>241</v>
      </c>
      <c r="C10" s="42" t="s">
        <v>242</v>
      </c>
      <c r="D10" s="42" t="s">
        <v>243</v>
      </c>
    </row>
    <row r="11" spans="2:4" ht="30" customHeight="1" x14ac:dyDescent="0.35">
      <c r="B11" s="13" t="s">
        <v>244</v>
      </c>
      <c r="C11" s="40" t="s">
        <v>245</v>
      </c>
      <c r="D11" s="40" t="s">
        <v>246</v>
      </c>
    </row>
    <row r="12" spans="2:4" ht="30" customHeight="1" x14ac:dyDescent="0.35">
      <c r="B12" s="29" t="s">
        <v>247</v>
      </c>
      <c r="C12" s="42" t="s">
        <v>203</v>
      </c>
      <c r="D12" s="42" t="s">
        <v>248</v>
      </c>
    </row>
    <row r="13" spans="2:4" ht="30" customHeight="1" x14ac:dyDescent="0.35">
      <c r="B13" s="13" t="s">
        <v>249</v>
      </c>
      <c r="C13" s="40" t="s">
        <v>203</v>
      </c>
      <c r="D13" s="40" t="s">
        <v>250</v>
      </c>
    </row>
    <row r="14" spans="2:4" ht="30" customHeight="1" x14ac:dyDescent="0.35">
      <c r="B14" s="29" t="s">
        <v>251</v>
      </c>
      <c r="C14" s="42" t="s">
        <v>242</v>
      </c>
      <c r="D14" s="42" t="s">
        <v>252</v>
      </c>
    </row>
    <row r="16" spans="2:4" ht="30" customHeight="1" x14ac:dyDescent="0.35">
      <c r="B16" s="65" t="s">
        <v>253</v>
      </c>
      <c r="C16" s="49"/>
      <c r="D16" s="49"/>
    </row>
  </sheetData>
  <mergeCells count="3">
    <mergeCell ref="B2:D2"/>
    <mergeCell ref="B3:D3"/>
    <mergeCell ref="B16:D16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Startup Landscape</vt:lpstr>
      <vt:lpstr>Analyst View</vt:lpstr>
      <vt:lpstr>Incumbents (context)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Bhattacharya, Bodhisatwa</cp:lastModifiedBy>
  <cp:revision>0</cp:revision>
  <dcterms:created xsi:type="dcterms:W3CDTF">2026-06-08T14:43:04Z</dcterms:created>
  <dcterms:modified xsi:type="dcterms:W3CDTF">2026-06-08T14:56:45Z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2026-06-08T14:56:45Z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5b480028-bb38-40be-9d73-8586f8d5f5cd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