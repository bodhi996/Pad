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ash Flow" sheetId="3" state="visible" r:id="rId5"/>
    <sheet name="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<sst xmlns="http://schemas.openxmlformats.org/spreadsheetml/2006/main" count="199" uniqueCount="160">
  <si>
    <t xml:space="preserve">Solar Plant Investment — One-Page Summary</t>
  </si>
  <si>
    <t xml:space="preserve">Hypothetical 10 MW utility-scale solar IPP in India under 25-yr PPA. 30/70 equity-debt.</t>
  </si>
  <si>
    <t xml:space="preserve">DEAL TERMS</t>
  </si>
  <si>
    <t xml:space="preserve">Plant capacity</t>
  </si>
  <si>
    <t xml:space="preserve">MW</t>
  </si>
  <si>
    <t xml:space="preserve">Total capex</t>
  </si>
  <si>
    <t xml:space="preserve">₹ crore</t>
  </si>
  <si>
    <t xml:space="preserve">Equity ticket</t>
  </si>
  <si>
    <t xml:space="preserve">Debt</t>
  </si>
  <si>
    <t xml:space="preserve">PPA tariff</t>
  </si>
  <si>
    <t xml:space="preserve">₹/kWh</t>
  </si>
  <si>
    <t xml:space="preserve">CUF Year 1</t>
  </si>
  <si>
    <t xml:space="preserve">%</t>
  </si>
  <si>
    <t xml:space="preserve">Debt cost</t>
  </si>
  <si>
    <t xml:space="preserve">Debt tenor</t>
  </si>
  <si>
    <t xml:space="preserve">years</t>
  </si>
  <si>
    <t xml:space="preserve">Project life</t>
  </si>
  <si>
    <t xml:space="preserve">BASE CASE EQUITY IRR (25-year, levered)</t>
  </si>
  <si>
    <t xml:space="preserve">Equity IRR</t>
  </si>
  <si>
    <t xml:space="preserve">RISK SCENARIOS — EQUITY IRR</t>
  </si>
  <si>
    <t xml:space="preserve">Base case</t>
  </si>
  <si>
    <t xml:space="preserve">Current sourced 2025-26 inputs</t>
  </si>
  <si>
    <t xml:space="preserve">Tariff haircut 10%</t>
  </si>
  <si>
    <t xml:space="preserve">DISCOM payment delays / curtailment</t>
  </si>
  <si>
    <t xml:space="preserve">CUF drops to 18%</t>
  </si>
  <si>
    <t xml:space="preserve">Curtailment / weather / actual industry CUF</t>
  </si>
  <si>
    <t xml:space="preserve">Capex overrun 15%</t>
  </si>
  <si>
    <t xml:space="preserve">Commissioning delays / cost inflation</t>
  </si>
  <si>
    <t xml:space="preserve">Combined downside</t>
  </si>
  <si>
    <t xml:space="preserve">All three above — equity gets thin</t>
  </si>
  <si>
    <t xml:space="preserve">Upside (CUF 25%, ₹3.0/kWh)</t>
  </si>
  <si>
    <t xml:space="preserve">Best execution / well-sited</t>
  </si>
  <si>
    <t xml:space="preserve">VIEW</t>
  </si>
  <si>
    <t xml:space="preserve">Base case equity IRR sits at the LOWER END of the 12-15% infra equity hurdle. Cash flows are underwritten by</t>
  </si>
  <si>
    <t xml:space="preserve">a 25-yr fixed-tariff PPA, but the IRR is sensitive: stress tests drop returns by 350-600 bps; combined downside</t>
  </si>
  <si>
    <t xml:space="preserve">wipes the equity. Indian solar tariffs have crashed from ₹5+ in 2014 to ₹2.50-2.86 today (SECI 2025 auctions),</t>
  </si>
  <si>
    <t xml:space="preserve">while capex per MW has fallen more slowly. The economics are structurally tight, not a modeling artifact.</t>
  </si>
  <si>
    <t xml:space="preserve">IMPLICATION FOR UC IMPOWER:</t>
  </si>
  <si>
    <t xml:space="preserve">A $2.5-3.5M equity cheque into a single solar IPP is marginal in base case; downside is binary.</t>
  </si>
  <si>
    <t xml:space="preserve">The interesting climate plays are upstream:</t>
  </si>
  <si>
    <t xml:space="preserve">   (a) Developer / platform scaling 50+ assets — captures dev margin + platform exit multiple</t>
  </si>
  <si>
    <t xml:space="preserve">   (b) Enabling technology — battery storage (AmpereHour in your portfolio), grid software, EV-tech</t>
  </si>
  <si>
    <t xml:space="preserve">   (c) NBFCs lending to developers — bank-spread + fee economics, not asset IRR</t>
  </si>
  <si>
    <t xml:space="preserve">AmpereHour sits in (b) — exactly the layer to capture climate exposure without IPP returns compression.</t>
  </si>
  <si>
    <t xml:space="preserve">Assumptions — All inputs sourced from 2025-26 public benchmarks</t>
  </si>
  <si>
    <t xml:space="preserve">Blue = input (editable). Green = calculated. Edit any blue cell to flow through the entire model.</t>
  </si>
  <si>
    <t xml:space="preserve">Input</t>
  </si>
  <si>
    <t xml:space="preserve">Value</t>
  </si>
  <si>
    <t xml:space="preserve">Unit</t>
  </si>
  <si>
    <t xml:space="preserve">Source / Benchmark</t>
  </si>
  <si>
    <t xml:space="preserve">Illustrative mid-scale plant</t>
  </si>
  <si>
    <t xml:space="preserve">Capex per MW</t>
  </si>
  <si>
    <t xml:space="preserve">₹ cr/MW</t>
  </si>
  <si>
    <t xml:space="preserve">klkindia Nov 2025: ₹3.75–4.25 cr/MW; utility-scale developers achieve lower end</t>
  </si>
  <si>
    <t xml:space="preserve">₹ cr</t>
  </si>
  <si>
    <t xml:space="preserve">Calc: capacity × capex/MW</t>
  </si>
  <si>
    <t xml:space="preserve">Equity %</t>
  </si>
  <si>
    <t xml:space="preserve">Given in interview brief</t>
  </si>
  <si>
    <t xml:space="preserve">Equity (₹)</t>
  </si>
  <si>
    <t xml:space="preserve">Calc: equity % × capex</t>
  </si>
  <si>
    <t xml:space="preserve">Debt (₹)</t>
  </si>
  <si>
    <t xml:space="preserve">Calc: 70% × capex</t>
  </si>
  <si>
    <t xml:space="preserve">Interest rate</t>
  </si>
  <si>
    <t xml:space="preserve">BNEF 2025 survey: 8.5–9.75% greenfield solar; ACME Solar 2025 refi at 8.8%</t>
  </si>
  <si>
    <t xml:space="preserve">Industry standard PF tenor; ACME refi was 18-20 yrs</t>
  </si>
  <si>
    <t xml:space="preserve">Annual debt service</t>
  </si>
  <si>
    <t xml:space="preserve">Calc: annuity payment</t>
  </si>
  <si>
    <t xml:space="preserve">SECI Oct 2025: record ₹2.86; ACME 25-yr PPA ₹3.05; BNC Apr 2026 ₹2.60; midpoint ₹2.80</t>
  </si>
  <si>
    <t xml:space="preserve">PPA-level AC CUF 22-25% typical with DC overloading (ScienceDirect 2024); CERC AC benchmark 19%</t>
  </si>
  <si>
    <t xml:space="preserve">Annual degradation</t>
  </si>
  <si>
    <t xml:space="preserve">Standard panel mfr warranty range 0.4-0.7%/yr; 0.5% midpoint</t>
  </si>
  <si>
    <t xml:space="preserve">O&amp;M Year 1</t>
  </si>
  <si>
    <t xml:space="preserve">₹5 lakh/MW utility scale; klkindia ₹6-10 lakh range is 1 MW illustration (no scale economies)</t>
  </si>
  <si>
    <t xml:space="preserve">O&amp;M escalation</t>
  </si>
  <si>
    <t xml:space="preserve">CPI-linked</t>
  </si>
  <si>
    <t xml:space="preserve">Tax rate</t>
  </si>
  <si>
    <t xml:space="preserve">Indian corporate, Section 115BAA (post-DDT)</t>
  </si>
  <si>
    <t xml:space="preserve">Matches PPA tenor</t>
  </si>
  <si>
    <t xml:space="preserve">5-Year Cash Flow (₹ crore)</t>
  </si>
  <si>
    <t xml:space="preserve">Year 0 = construction (equity outflow). Years 1-5 = operations under 25-yr PPA. IRR computed over full 25-year life — see Scenarios tab.</t>
  </si>
  <si>
    <t xml:space="preserve">Line item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</si>
  <si>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</si>
  <si>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</si>
  <si>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</si>
  <si>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</si>
  <si>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</si>
  <si>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</si>
  <si>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PHYSICAL OPERATIONS</t>
  </si>
  <si>
    <t xml:space="preserve">Generation (million kWh)</t>
  </si>
  <si>
    <t xml:space="preserve">P&amp;L (₹ crore)</t>
  </si>
  <si>
    <t xml:space="preserve">Revenue</t>
  </si>
  <si>
    <t xml:space="preserve">(–) O&amp;M cost</t>
  </si>
  <si>
    <t xml:space="preserve">EBITDA</t>
  </si>
  <si>
    <t xml:space="preserve">(–) Depreciation</t>
  </si>
  <si>
    <t xml:space="preserve">EBIT</t>
  </si>
  <si>
    <t xml:space="preserve">DEBT SCHEDULE (₹ crore)</t>
  </si>
  <si>
    <t xml:space="preserve">(–) Interest expense</t>
  </si>
  <si>
    <t xml:space="preserve">(–) Principal repayment</t>
  </si>
  <si>
    <t xml:space="preserve">EQUITY CASH FLOW (₹ crore)</t>
  </si>
  <si>
    <t xml:space="preserve">PBT (EBIT + Interest)</t>
  </si>
  <si>
    <t xml:space="preserve">(–) Tax</t>
  </si>
  <si>
    <t xml:space="preserve">PAT</t>
  </si>
  <si>
    <t xml:space="preserve">Free Cash Flow to Equity</t>
  </si>
  <si>
    <t xml:space="preserve">Note: 25-year equity IRR is calculated on the Scenarios tab using the same logic extended over the full PPA tenor.</t>
  </si>
  <si>
    <t xml:space="preserve">A 5-year IRR alone is misleading — equity capex is not yet recovered in Year 5.</t>
  </si>
  <si>
    <t xml:space="preserve">Scenarios &amp; Risk Analysis</t>
  </si>
  <si>
    <t xml:space="preserve">Equity IRR computed over the full 25-yr PPA. The yellow cells in the scenario table are the inputs that change per scenario; the helper area below extends each scenario over 25 years.</t>
  </si>
  <si>
    <t xml:space="preserve">KEY RISKS FOR A SOLAR IPP IN INDIA</t>
  </si>
  <si>
    <t xml:space="preserve">Risk</t>
  </si>
  <si>
    <t xml:space="preserve">Description</t>
  </si>
  <si>
    <t xml:space="preserve">Tariff / DISCOM counterparty</t>
  </si>
  <si>
    <t xml:space="preserve">PPA fixed 25 yrs but DISCOM payment delays routine (esp. TN, AP); curtailment in oversupplied grids</t>
  </si>
  <si>
    <t xml:space="preserve">Generation (CUF)</t>
  </si>
  <si>
    <t xml:space="preserve">Weather variability, panel underperformance, curtailment can drop CUF 1-3 ppts vs design</t>
  </si>
  <si>
    <t xml:space="preserve">Capex overrun / commissioning delay</t>
  </si>
  <si>
    <t xml:space="preserve">Land, evacuation infra, equipment delays — IRR erodes if commissioning slips</t>
  </si>
  <si>
    <t xml:space="preserve">Module degradation &gt; expected</t>
  </si>
  <si>
    <t xml:space="preserve">Cheap modules degrade above 0.5%/yr warranty; long-tail revenue erosion</t>
  </si>
  <si>
    <t xml:space="preserve">Refinancing / interest rate</t>
  </si>
  <si>
    <t xml:space="preserve">Long-tenor exposure to rate cycles; floating-rate debt amplifies this</t>
  </si>
  <si>
    <t xml:space="preserve">Regulatory / land / ESG</t>
  </si>
  <si>
    <t xml:space="preserve">Policy shifts, RPO enforcement, land disputes, biodiversity flags — UC Impower weighs these heavily</t>
  </si>
  <si>
    <t xml:space="preserve">SCENARIO ANALYSIS — equity IRR sensitivities</t>
  </si>
  <si>
    <t xml:space="preserve">Scenario</t>
  </si>
  <si>
    <t xml:space="preserve">CUF</t>
  </si>
  <si>
    <t xml:space="preserve">Tariff (₹/kWh)</t>
  </si>
  <si>
    <t xml:space="preserve">Capex mult.</t>
  </si>
  <si>
    <t xml:space="preserve">Risk captured</t>
  </si>
  <si>
    <t xml:space="preserve">Base case (current sourced inputs)</t>
  </si>
  <si>
    <t xml:space="preserve">Sourced 2025-26 inputs hold</t>
  </si>
  <si>
    <t xml:space="preserve">Curtailment / weather / SBICAPS notes 16.5% actual</t>
  </si>
  <si>
    <t xml:space="preserve">All three risks materialize</t>
  </si>
  <si>
    <t xml:space="preserve">Upside (CUF 25%, ₹3.0)</t>
  </si>
  <si>
    <t xml:space="preserve">Helper: 25-year FCFE per scenario (engine for IRR formulas above)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</si>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</sst>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#,##0.00;\(#,##0.00\);\-"/>
    <numFmt numFmtId="167" formatCode="0.0%;\(0.0%\);\-"/>
    <numFmt numFmtId="168" formatCode="0.0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606060"/>
      <name val="Arial"/>
      <family val="0"/>
      <charset val="1"/>
    </font>
    <font>
      <b val="true"/>
      <sz val="8"/>
      <color rgb="FF606060"/>
      <name val="Arial"/>
      <family val="0"/>
      <charset val="1"/>
    </font>
    <font>
      <sz val="8"/>
      <color rgb="FF60606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n">
        <f aca="false">Assumptions!$B$5</f>
        <v>10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f aca="false">Assumptions!$B$7</f>
        <v>37.5</v>
      </c>
      <c r="C6" s="6" t="s">
        <v>6</v>
      </c>
    </row>
    <row r="7" customFormat="false" ht="15" hidden="false" customHeight="false" outlineLevel="0" collapsed="false">
      <c r="A7" s="4" t="s">
        <v>7</v>
      </c>
      <c r="B7" s="7" t="n">
        <f aca="false">Assumptions!$B$9</f>
        <v>11.25</v>
      </c>
      <c r="C7" s="6" t="s">
        <v>6</v>
      </c>
    </row>
    <row r="8" customFormat="false" ht="15" hidden="false" customHeight="false" outlineLevel="0" collapsed="false">
      <c r="A8" s="4" t="s">
        <v>8</v>
      </c>
      <c r="B8" s="7" t="n">
        <f aca="false">Assumptions!$B$10</f>
        <v>26.25</v>
      </c>
      <c r="C8" s="6" t="s">
        <v>6</v>
      </c>
    </row>
    <row r="9" customFormat="false" ht="15" hidden="false" customHeight="false" outlineLevel="0" collapsed="false">
      <c r="A9" s="4" t="s">
        <v>9</v>
      </c>
      <c r="B9" s="7" t="n">
        <f aca="false">Assumptions!$B$14</f>
        <v>2.8</v>
      </c>
      <c r="C9" s="6" t="s">
        <v>10</v>
      </c>
    </row>
    <row r="10" customFormat="false" ht="15" hidden="false" customHeight="false" outlineLevel="0" collapsed="false">
      <c r="A10" s="4" t="s">
        <v>11</v>
      </c>
      <c r="B10" s="8" t="n">
        <f aca="false">Assumptions!$B$15</f>
        <v>0.22</v>
      </c>
      <c r="C10" s="6" t="s">
        <v>12</v>
      </c>
    </row>
    <row r="11" customFormat="false" ht="15" hidden="false" customHeight="false" outlineLevel="0" collapsed="false">
      <c r="A11" s="4" t="s">
        <v>13</v>
      </c>
      <c r="B11" s="8" t="n">
        <f aca="false">Assumptions!$B$11</f>
        <v>0.09</v>
      </c>
      <c r="C11" s="6" t="s">
        <v>12</v>
      </c>
    </row>
    <row r="12" customFormat="false" ht="15" hidden="false" customHeight="false" outlineLevel="0" collapsed="false">
      <c r="A12" s="4" t="s">
        <v>14</v>
      </c>
      <c r="B12" s="5" t="n">
        <f aca="false">Assumptions!$B$12</f>
        <v>15</v>
      </c>
      <c r="C12" s="6" t="s">
        <v>15</v>
      </c>
    </row>
    <row r="13" customFormat="false" ht="15" hidden="false" customHeight="false" outlineLevel="0" collapsed="false">
      <c r="A13" s="4" t="s">
        <v>16</v>
      </c>
      <c r="B13" s="5" t="n">
        <f aca="false">Assumptions!$B$20</f>
        <v>25</v>
      </c>
      <c r="C13" s="6" t="s">
        <v>15</v>
      </c>
    </row>
    <row r="15" customFormat="false" ht="15" hidden="false" customHeight="false" outlineLevel="0" collapsed="false">
      <c r="A15" s="3" t="s">
        <v>17</v>
      </c>
      <c r="B15" s="3"/>
      <c r="C15" s="3"/>
      <c r="D15" s="3"/>
      <c r="E15" s="3"/>
    </row>
    <row r="16" customFormat="false" ht="36" hidden="false" customHeight="true" outlineLevel="0" collapsed="false">
      <c r="A16" s="9" t="s">
        <v>18</v>
      </c>
      <c r="B16" s="10" t="n">
        <f aca="false">Scenarios!$E$16</f>
        <v>0.108924190204938</v>
      </c>
      <c r="C16" s="10"/>
    </row>
    <row r="18" customFormat="false" ht="15" hidden="false" customHeight="false" outlineLevel="0" collapsed="false">
      <c r="A18" s="3" t="s">
        <v>19</v>
      </c>
      <c r="B18" s="3"/>
      <c r="C18" s="3"/>
      <c r="D18" s="3"/>
      <c r="E18" s="3"/>
    </row>
    <row r="19" customFormat="false" ht="15" hidden="false" customHeight="false" outlineLevel="0" collapsed="false">
      <c r="A19" s="9" t="s">
        <v>20</v>
      </c>
      <c r="B19" s="8" t="n">
        <f aca="false">Scenarios!$E$16</f>
        <v>0.108924190204938</v>
      </c>
      <c r="C19" s="2" t="s">
        <v>21</v>
      </c>
      <c r="D19" s="2"/>
      <c r="E19" s="2"/>
    </row>
    <row r="20" customFormat="false" ht="15" hidden="false" customHeight="false" outlineLevel="0" collapsed="false">
      <c r="A20" s="9" t="s">
        <v>22</v>
      </c>
      <c r="B20" s="8" t="n">
        <f aca="false">Scenarios!$E$17</f>
        <v>0.0764875604171287</v>
      </c>
      <c r="C20" s="2" t="s">
        <v>23</v>
      </c>
      <c r="D20" s="2"/>
      <c r="E20" s="2"/>
    </row>
    <row r="21" customFormat="false" ht="15" hidden="false" customHeight="false" outlineLevel="0" collapsed="false">
      <c r="A21" s="9" t="s">
        <v>24</v>
      </c>
      <c r="B21" s="8" t="n">
        <f aca="false">Scenarios!$E$18</f>
        <v>0.0504258883823796</v>
      </c>
      <c r="C21" s="2" t="s">
        <v>25</v>
      </c>
      <c r="D21" s="2"/>
      <c r="E21" s="2"/>
    </row>
    <row r="22" customFormat="false" ht="15" hidden="false" customHeight="false" outlineLevel="0" collapsed="false">
      <c r="A22" s="9" t="s">
        <v>26</v>
      </c>
      <c r="B22" s="8" t="n">
        <f aca="false">Scenarios!$E$19</f>
        <v>0.0732083182854843</v>
      </c>
      <c r="C22" s="2" t="s">
        <v>27</v>
      </c>
      <c r="D22" s="2"/>
      <c r="E22" s="2"/>
    </row>
    <row r="23" customFormat="false" ht="15" hidden="false" customHeight="false" outlineLevel="0" collapsed="false">
      <c r="A23" s="9" t="s">
        <v>28</v>
      </c>
      <c r="B23" s="8" t="n">
        <f aca="false">Scenarios!$E$20</f>
        <v>-0.00332125093765967</v>
      </c>
      <c r="C23" s="2" t="s">
        <v>29</v>
      </c>
      <c r="D23" s="2"/>
      <c r="E23" s="2"/>
    </row>
    <row r="24" customFormat="false" ht="15" hidden="false" customHeight="false" outlineLevel="0" collapsed="false">
      <c r="A24" s="9" t="s">
        <v>30</v>
      </c>
      <c r="B24" s="8" t="n">
        <f aca="false">Scenarios!$E$21</f>
        <v>0.182715365403871</v>
      </c>
      <c r="C24" s="2" t="s">
        <v>31</v>
      </c>
      <c r="D24" s="2"/>
      <c r="E24" s="2"/>
    </row>
    <row r="26" customFormat="false" ht="15" hidden="false" customHeight="false" outlineLevel="0" collapsed="false">
      <c r="A26" s="3" t="s">
        <v>32</v>
      </c>
      <c r="B26" s="3"/>
      <c r="C26" s="3"/>
      <c r="D26" s="3"/>
      <c r="E26" s="3"/>
    </row>
    <row r="27" customFormat="false" ht="15" hidden="false" customHeight="false" outlineLevel="0" collapsed="false">
      <c r="A27" s="11" t="s">
        <v>33</v>
      </c>
      <c r="B27" s="11"/>
      <c r="C27" s="11"/>
      <c r="D27" s="11"/>
      <c r="E27" s="11"/>
    </row>
    <row r="28" customFormat="false" ht="15" hidden="false" customHeight="false" outlineLevel="0" collapsed="false">
      <c r="A28" s="11" t="s">
        <v>34</v>
      </c>
      <c r="B28" s="11"/>
      <c r="C28" s="11"/>
      <c r="D28" s="11"/>
      <c r="E28" s="11"/>
    </row>
    <row r="29" customFormat="false" ht="15" hidden="false" customHeight="false" outlineLevel="0" collapsed="false">
      <c r="A29" s="11" t="s">
        <v>35</v>
      </c>
      <c r="B29" s="11"/>
      <c r="C29" s="11"/>
      <c r="D29" s="11"/>
      <c r="E29" s="11"/>
    </row>
    <row r="30" customFormat="false" ht="15" hidden="false" customHeight="false" outlineLevel="0" collapsed="false">
      <c r="A30" s="11" t="s">
        <v>36</v>
      </c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2" t="s">
        <v>37</v>
      </c>
      <c r="B32" s="12"/>
      <c r="C32" s="12"/>
      <c r="D32" s="12"/>
      <c r="E32" s="12"/>
    </row>
    <row r="33" customFormat="false" ht="15" hidden="false" customHeight="false" outlineLevel="0" collapsed="false">
      <c r="A33" s="11" t="s">
        <v>38</v>
      </c>
      <c r="B33" s="11"/>
      <c r="C33" s="11"/>
      <c r="D33" s="11"/>
      <c r="E33" s="11"/>
    </row>
    <row r="34" customFormat="false" ht="15" hidden="false" customHeight="false" outlineLevel="0" collapsed="false">
      <c r="A34" s="11" t="s">
        <v>39</v>
      </c>
      <c r="B34" s="11"/>
      <c r="C34" s="11"/>
      <c r="D34" s="11"/>
      <c r="E34" s="11"/>
    </row>
    <row r="35" customFormat="false" ht="15" hidden="false" customHeight="false" outlineLevel="0" collapsed="false">
      <c r="A35" s="11" t="s">
        <v>40</v>
      </c>
      <c r="B35" s="11"/>
      <c r="C35" s="11"/>
      <c r="D35" s="11"/>
      <c r="E35" s="11"/>
    </row>
    <row r="36" customFormat="false" ht="15" hidden="false" customHeight="false" outlineLevel="0" collapsed="false">
      <c r="A36" s="11" t="s">
        <v>41</v>
      </c>
      <c r="B36" s="11"/>
      <c r="C36" s="11"/>
      <c r="D36" s="11"/>
      <c r="E36" s="11"/>
    </row>
    <row r="37" customFormat="false" ht="15" hidden="false" customHeight="false" outlineLevel="0" collapsed="false">
      <c r="A37" s="11" t="s">
        <v>42</v>
      </c>
      <c r="B37" s="11"/>
      <c r="C37" s="11"/>
      <c r="D37" s="11"/>
      <c r="E37" s="11"/>
    </row>
    <row r="38" customFormat="false" ht="15" hidden="false" customHeight="false" outlineLevel="0" collapsed="false">
      <c r="A38" s="11"/>
      <c r="B38" s="11"/>
      <c r="C38" s="11"/>
      <c r="D38" s="11"/>
      <c r="E38" s="11"/>
    </row>
    <row r="39" customFormat="false" ht="15" hidden="false" customHeight="false" outlineLevel="0" collapsed="false">
      <c r="A39" s="11" t="s">
        <v>43</v>
      </c>
      <c r="B39" s="11"/>
      <c r="C39" s="11"/>
      <c r="D39" s="11"/>
      <c r="E39" s="11"/>
    </row>
  </sheetData>
  <mergeCells count="26">
    <mergeCell ref="A1:E1"/>
    <mergeCell ref="A2:E2"/>
    <mergeCell ref="A4:E4"/>
    <mergeCell ref="A15:E15"/>
    <mergeCell ref="B16:C16"/>
    <mergeCell ref="A18:E18"/>
    <mergeCell ref="C19:E19"/>
    <mergeCell ref="C20:E20"/>
    <mergeCell ref="C21:E21"/>
    <mergeCell ref="C22:E22"/>
    <mergeCell ref="C23:E23"/>
    <mergeCell ref="C24:E24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3" t="s">
        <v>44</v>
      </c>
      <c r="B1" s="13"/>
      <c r="C1" s="13"/>
      <c r="D1" s="13"/>
    </row>
    <row r="2" customFormat="false" ht="15" hidden="false" customHeight="false" outlineLevel="0" collapsed="false">
      <c r="A2" s="2" t="s">
        <v>45</v>
      </c>
      <c r="B2" s="2"/>
      <c r="C2" s="2"/>
      <c r="D2" s="2"/>
    </row>
    <row r="4" customFormat="false" ht="15" hidden="false" customHeight="false" outlineLevel="0" collapsed="false">
      <c r="A4" s="14" t="s">
        <v>46</v>
      </c>
      <c r="B4" s="14" t="s">
        <v>47</v>
      </c>
      <c r="C4" s="14" t="s">
        <v>48</v>
      </c>
      <c r="D4" s="14" t="s">
        <v>49</v>
      </c>
    </row>
    <row r="5" customFormat="false" ht="15" hidden="false" customHeight="false" outlineLevel="0" collapsed="false">
      <c r="A5" s="15" t="s">
        <v>3</v>
      </c>
      <c r="B5" s="16" t="n">
        <v>10</v>
      </c>
      <c r="C5" s="17" t="s">
        <v>4</v>
      </c>
      <c r="D5" s="18" t="s">
        <v>50</v>
      </c>
    </row>
    <row r="6" customFormat="false" ht="15" hidden="false" customHeight="false" outlineLevel="0" collapsed="false">
      <c r="A6" s="15" t="s">
        <v>51</v>
      </c>
      <c r="B6" s="19" t="n">
        <v>3.75</v>
      </c>
      <c r="C6" s="17" t="s">
        <v>52</v>
      </c>
      <c r="D6" s="18" t="s">
        <v>53</v>
      </c>
    </row>
    <row r="7" customFormat="false" ht="15" hidden="false" customHeight="false" outlineLevel="0" collapsed="false">
      <c r="A7" s="15" t="s">
        <v>5</v>
      </c>
      <c r="B7" s="20" t="n">
        <f aca="false">Assumptions!$B$5*Assumptions!$B$6</f>
        <v>37.5</v>
      </c>
      <c r="C7" s="17" t="s">
        <v>54</v>
      </c>
      <c r="D7" s="18" t="s">
        <v>55</v>
      </c>
    </row>
    <row r="8" customFormat="false" ht="15" hidden="false" customHeight="false" outlineLevel="0" collapsed="false">
      <c r="A8" s="15" t="s">
        <v>56</v>
      </c>
      <c r="B8" s="21" t="n">
        <v>0.3</v>
      </c>
      <c r="C8" s="17" t="s">
        <v>12</v>
      </c>
      <c r="D8" s="18" t="s">
        <v>57</v>
      </c>
    </row>
    <row r="9" customFormat="false" ht="15" hidden="false" customHeight="false" outlineLevel="0" collapsed="false">
      <c r="A9" s="15" t="s">
        <v>58</v>
      </c>
      <c r="B9" s="20" t="n">
        <f aca="false">Assumptions!$B$8*Assumptions!$B$7</f>
        <v>11.25</v>
      </c>
      <c r="C9" s="17" t="s">
        <v>54</v>
      </c>
      <c r="D9" s="18" t="s">
        <v>59</v>
      </c>
    </row>
    <row r="10" customFormat="false" ht="15" hidden="false" customHeight="false" outlineLevel="0" collapsed="false">
      <c r="A10" s="15" t="s">
        <v>60</v>
      </c>
      <c r="B10" s="20" t="n">
        <f aca="false">(1-Assumptions!$B$8)*Assumptions!$B$7</f>
        <v>26.25</v>
      </c>
      <c r="C10" s="17" t="s">
        <v>54</v>
      </c>
      <c r="D10" s="18" t="s">
        <v>61</v>
      </c>
    </row>
    <row r="11" customFormat="false" ht="15" hidden="false" customHeight="false" outlineLevel="0" collapsed="false">
      <c r="A11" s="15" t="s">
        <v>62</v>
      </c>
      <c r="B11" s="21" t="n">
        <v>0.09</v>
      </c>
      <c r="C11" s="17" t="s">
        <v>12</v>
      </c>
      <c r="D11" s="18" t="s">
        <v>63</v>
      </c>
    </row>
    <row r="12" customFormat="false" ht="15" hidden="false" customHeight="false" outlineLevel="0" collapsed="false">
      <c r="A12" s="15" t="s">
        <v>14</v>
      </c>
      <c r="B12" s="16" t="n">
        <v>15</v>
      </c>
      <c r="C12" s="17" t="s">
        <v>15</v>
      </c>
      <c r="D12" s="18" t="s">
        <v>64</v>
      </c>
    </row>
    <row r="13" customFormat="false" ht="15" hidden="false" customHeight="false" outlineLevel="0" collapsed="false">
      <c r="A13" s="15" t="s">
        <v>65</v>
      </c>
      <c r="B13" s="20" t="n">
        <f aca="false">-PMT(Assumptions!$B$11,Assumptions!$B$12,Assumptions!$B$10)</f>
        <v>3.25654566957064</v>
      </c>
      <c r="C13" s="17" t="s">
        <v>54</v>
      </c>
      <c r="D13" s="18" t="s">
        <v>66</v>
      </c>
    </row>
    <row r="14" customFormat="false" ht="15" hidden="false" customHeight="false" outlineLevel="0" collapsed="false">
      <c r="A14" s="15" t="s">
        <v>9</v>
      </c>
      <c r="B14" s="19" t="n">
        <v>2.8</v>
      </c>
      <c r="C14" s="17" t="s">
        <v>10</v>
      </c>
      <c r="D14" s="18" t="s">
        <v>67</v>
      </c>
    </row>
    <row r="15" customFormat="false" ht="15" hidden="false" customHeight="false" outlineLevel="0" collapsed="false">
      <c r="A15" s="15" t="s">
        <v>11</v>
      </c>
      <c r="B15" s="21" t="n">
        <v>0.22</v>
      </c>
      <c r="C15" s="17" t="s">
        <v>12</v>
      </c>
      <c r="D15" s="18" t="s">
        <v>68</v>
      </c>
    </row>
    <row r="16" customFormat="false" ht="15" hidden="false" customHeight="false" outlineLevel="0" collapsed="false">
      <c r="A16" s="15" t="s">
        <v>69</v>
      </c>
      <c r="B16" s="21" t="n">
        <v>0.005</v>
      </c>
      <c r="C16" s="17" t="s">
        <v>12</v>
      </c>
      <c r="D16" s="18" t="s">
        <v>70</v>
      </c>
    </row>
    <row r="17" customFormat="false" ht="15" hidden="false" customHeight="false" outlineLevel="0" collapsed="false">
      <c r="A17" s="15" t="s">
        <v>71</v>
      </c>
      <c r="B17" s="19" t="n">
        <v>0.5</v>
      </c>
      <c r="C17" s="17" t="s">
        <v>54</v>
      </c>
      <c r="D17" s="18" t="s">
        <v>72</v>
      </c>
    </row>
    <row r="18" customFormat="false" ht="15" hidden="false" customHeight="false" outlineLevel="0" collapsed="false">
      <c r="A18" s="15" t="s">
        <v>73</v>
      </c>
      <c r="B18" s="21" t="n">
        <v>0.05</v>
      </c>
      <c r="C18" s="17" t="s">
        <v>12</v>
      </c>
      <c r="D18" s="18" t="s">
        <v>74</v>
      </c>
    </row>
    <row r="19" customFormat="false" ht="15" hidden="false" customHeight="false" outlineLevel="0" collapsed="false">
      <c r="A19" s="15" t="s">
        <v>75</v>
      </c>
      <c r="B19" s="21" t="n">
        <v>0.25</v>
      </c>
      <c r="C19" s="17" t="s">
        <v>12</v>
      </c>
      <c r="D19" s="18" t="s">
        <v>76</v>
      </c>
    </row>
    <row r="20" customFormat="false" ht="15" hidden="false" customHeight="false" outlineLevel="0" collapsed="false">
      <c r="A20" s="15" t="s">
        <v>16</v>
      </c>
      <c r="B20" s="16" t="n">
        <v>25</v>
      </c>
      <c r="C20" s="17" t="s">
        <v>15</v>
      </c>
      <c r="D20" s="18" t="s">
        <v>77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3"/>
  </cols>
  <sheetData>
    <row r="1" customFormat="false" ht="19.7" hidden="false" customHeight="false" outlineLevel="0" collapsed="false">
      <c r="A1" s="13" t="s">
        <v>78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22" t="s">
        <v>80</v>
      </c>
      <c r="B4" s="14" t="s">
        <v>81</v>
      </c>
      <c r="C4" s="14" t="s">
        <v>82</v>
      </c>
      <c r="D4" s="14" t="s">
        <v>83</v>
      </c>
      <c r="E4" s="14" t="s">
        <v>84</v>
      </c>
      <c r="F4" s="14" t="s">
        <v>85</v>
      </c>
      <c r="G4" s="14" t="s">
        <v>86</v>
      </c>
    </row>
    <row r="5" customFormat="false" ht="15" hidden="false" customHeight="false" outlineLevel="0" collapsed="false">
      <c r="A5" s="23" t="s">
        <v>87</v>
      </c>
      <c r="B5" s="24"/>
      <c r="C5" s="24"/>
      <c r="D5" s="24"/>
      <c r="E5" s="24"/>
      <c r="F5" s="24"/>
      <c r="G5" s="24"/>
    </row>
    <row r="6" customFormat="false" ht="15" hidden="false" customHeight="false" outlineLevel="0" collapsed="false">
      <c r="A6" s="4" t="s">
        <v>88</v>
      </c>
      <c r="B6" s="25" t="n">
        <f aca="false">0</f>
        <v>0</v>
      </c>
      <c r="C6" s="25" t="n">
        <f aca="false">Assumptions!$B$5*8760*Assumptions!$B$15*(1-Assumptions!$B$16)^(1-1)/1000</f>
        <v>19.272</v>
      </c>
      <c r="D6" s="25" t="n">
        <f aca="false">Assumptions!$B$5*8760*Assumptions!$B$15*(1-Assumptions!$B$16)^(2-1)/1000</f>
        <v>19.17564</v>
      </c>
      <c r="E6" s="25" t="n">
        <f aca="false">Assumptions!$B$5*8760*Assumptions!$B$15*(1-Assumptions!$B$16)^(3-1)/1000</f>
        <v>19.0797618</v>
      </c>
      <c r="F6" s="25" t="n">
        <f aca="false">Assumptions!$B$5*8760*Assumptions!$B$15*(1-Assumptions!$B$16)^(4-1)/1000</f>
        <v>18.984362991</v>
      </c>
      <c r="G6" s="25" t="n">
        <f aca="false">Assumptions!$B$5*8760*Assumptions!$B$15*(1-Assumptions!$B$16)^(5-1)/1000</f>
        <v>18.889441176045</v>
      </c>
    </row>
    <row r="8" customFormat="false" ht="15" hidden="false" customHeight="false" outlineLevel="0" collapsed="false">
      <c r="A8" s="23" t="s">
        <v>89</v>
      </c>
      <c r="B8" s="24"/>
      <c r="C8" s="24"/>
      <c r="D8" s="24"/>
      <c r="E8" s="24"/>
      <c r="F8" s="24"/>
      <c r="G8" s="24"/>
    </row>
    <row r="9" customFormat="false" ht="15" hidden="false" customHeight="false" outlineLevel="0" collapsed="false">
      <c r="A9" s="4" t="s">
        <v>90</v>
      </c>
      <c r="B9" s="25" t="n">
        <f aca="false">0</f>
        <v>0</v>
      </c>
      <c r="C9" s="25" t="n">
        <f aca="false">C6*Assumptions!$B$14/10</f>
        <v>5.39616</v>
      </c>
      <c r="D9" s="25" t="n">
        <f aca="false">D6*Assumptions!$B$14/10</f>
        <v>5.3691792</v>
      </c>
      <c r="E9" s="25" t="n">
        <f aca="false">E6*Assumptions!$B$14/10</f>
        <v>5.342333304</v>
      </c>
      <c r="F9" s="25" t="n">
        <f aca="false">F6*Assumptions!$B$14/10</f>
        <v>5.31562163748</v>
      </c>
      <c r="G9" s="25" t="n">
        <f aca="false">G6*Assumptions!$B$14/10</f>
        <v>5.2890435292926</v>
      </c>
    </row>
    <row r="10" customFormat="false" ht="15" hidden="false" customHeight="false" outlineLevel="0" collapsed="false">
      <c r="A10" s="4" t="s">
        <v>91</v>
      </c>
      <c r="B10" s="25" t="n">
        <f aca="false">0</f>
        <v>0</v>
      </c>
      <c r="C10" s="25" t="n">
        <f aca="false">-Assumptions!$B$17*(1+Assumptions!$B$18)^(1-1)</f>
        <v>-0.5</v>
      </c>
      <c r="D10" s="25" t="n">
        <f aca="false">-Assumptions!$B$17*(1+Assumptions!$B$18)^(2-1)</f>
        <v>-0.525</v>
      </c>
      <c r="E10" s="25" t="n">
        <f aca="false">-Assumptions!$B$17*(1+Assumptions!$B$18)^(3-1)</f>
        <v>-0.55125</v>
      </c>
      <c r="F10" s="25" t="n">
        <f aca="false">-Assumptions!$B$17*(1+Assumptions!$B$18)^(4-1)</f>
        <v>-0.5788125</v>
      </c>
      <c r="G10" s="25" t="n">
        <f aca="false">-Assumptions!$B$17*(1+Assumptions!$B$18)^(5-1)</f>
        <v>-0.607753125</v>
      </c>
    </row>
    <row r="11" customFormat="false" ht="15" hidden="false" customHeight="false" outlineLevel="0" collapsed="false">
      <c r="A11" s="26" t="s">
        <v>92</v>
      </c>
      <c r="B11" s="27" t="n">
        <f aca="false">0</f>
        <v>0</v>
      </c>
      <c r="C11" s="27" t="n">
        <f aca="false">C9+C10</f>
        <v>4.89616</v>
      </c>
      <c r="D11" s="27" t="n">
        <f aca="false">D9+D10</f>
        <v>4.8441792</v>
      </c>
      <c r="E11" s="27" t="n">
        <f aca="false">E9+E10</f>
        <v>4.791083304</v>
      </c>
      <c r="F11" s="27" t="n">
        <f aca="false">F9+F10</f>
        <v>4.73680913748</v>
      </c>
      <c r="G11" s="27" t="n">
        <f aca="false">G9+G10</f>
        <v>4.6812904042926</v>
      </c>
    </row>
    <row r="12" customFormat="false" ht="15" hidden="false" customHeight="false" outlineLevel="0" collapsed="false">
      <c r="A12" s="4" t="s">
        <v>93</v>
      </c>
      <c r="B12" s="25" t="n">
        <f aca="false">0</f>
        <v>0</v>
      </c>
      <c r="C12" s="25" t="n">
        <f aca="false">-Assumptions!$B$7/Assumptions!$B$20</f>
        <v>-1.5</v>
      </c>
      <c r="D12" s="25" t="n">
        <f aca="false">-Assumptions!$B$7/Assumptions!$B$20</f>
        <v>-1.5</v>
      </c>
      <c r="E12" s="25" t="n">
        <f aca="false">-Assumptions!$B$7/Assumptions!$B$20</f>
        <v>-1.5</v>
      </c>
      <c r="F12" s="25" t="n">
        <f aca="false">-Assumptions!$B$7/Assumptions!$B$20</f>
        <v>-1.5</v>
      </c>
      <c r="G12" s="25" t="n">
        <f aca="false">-Assumptions!$B$7/Assumptions!$B$20</f>
        <v>-1.5</v>
      </c>
    </row>
    <row r="13" customFormat="false" ht="15" hidden="false" customHeight="false" outlineLevel="0" collapsed="false">
      <c r="A13" s="4" t="s">
        <v>94</v>
      </c>
      <c r="B13" s="25" t="n">
        <f aca="false">0</f>
        <v>0</v>
      </c>
      <c r="C13" s="25" t="n">
        <f aca="false">C11+C12</f>
        <v>3.39616</v>
      </c>
      <c r="D13" s="25" t="n">
        <f aca="false">D11+D12</f>
        <v>3.3441792</v>
      </c>
      <c r="E13" s="25" t="n">
        <f aca="false">E11+E12</f>
        <v>3.291083304</v>
      </c>
      <c r="F13" s="25" t="n">
        <f aca="false">F11+F12</f>
        <v>3.23680913748</v>
      </c>
      <c r="G13" s="25" t="n">
        <f aca="false">G11+G12</f>
        <v>3.1812904042926</v>
      </c>
    </row>
    <row r="15" customFormat="false" ht="15" hidden="false" customHeight="false" outlineLevel="0" collapsed="false">
      <c r="A15" s="23" t="s">
        <v>95</v>
      </c>
      <c r="B15" s="24"/>
      <c r="C15" s="24"/>
      <c r="D15" s="24"/>
      <c r="E15" s="24"/>
      <c r="F15" s="24"/>
      <c r="G15" s="24"/>
    </row>
    <row r="16" customFormat="false" ht="15" hidden="false" customHeight="false" outlineLevel="0" collapsed="false">
      <c r="A16" s="4" t="s">
        <v>96</v>
      </c>
      <c r="B16" s="25" t="n">
        <f aca="false">0</f>
        <v>0</v>
      </c>
      <c r="C16" s="25" t="n">
        <f aca="false">IPMT(Assumptions!$B$11,1,Assumptions!$B$12,Assumptions!$B$10)</f>
        <v>-2.3625</v>
      </c>
      <c r="D16" s="25" t="n">
        <f aca="false">IPMT(Assumptions!$B$11,2,Assumptions!$B$12,Assumptions!$B$10)</f>
        <v>-2.28203588973864</v>
      </c>
      <c r="E16" s="25" t="n">
        <f aca="false">IPMT(Assumptions!$B$11,3,Assumptions!$B$12,Assumptions!$B$10)</f>
        <v>-2.19433000955376</v>
      </c>
      <c r="F16" s="25" t="n">
        <f aca="false">IPMT(Assumptions!$B$11,4,Assumptions!$B$12,Assumptions!$B$10)</f>
        <v>-2.09873060015224</v>
      </c>
      <c r="G16" s="25" t="n">
        <f aca="false">IPMT(Assumptions!$B$11,5,Assumptions!$B$12,Assumptions!$B$10)</f>
        <v>-1.99452724390459</v>
      </c>
    </row>
    <row r="17" customFormat="false" ht="15" hidden="false" customHeight="false" outlineLevel="0" collapsed="false">
      <c r="A17" s="4" t="s">
        <v>97</v>
      </c>
      <c r="B17" s="25" t="n">
        <f aca="false">0</f>
        <v>0</v>
      </c>
      <c r="C17" s="25" t="n">
        <f aca="false">PPMT(Assumptions!$B$11,1,Assumptions!$B$12,Assumptions!$B$10)</f>
        <v>-0.89404566957064</v>
      </c>
      <c r="D17" s="25" t="n">
        <f aca="false">PPMT(Assumptions!$B$11,2,Assumptions!$B$12,Assumptions!$B$10)</f>
        <v>-0.974509779831997</v>
      </c>
      <c r="E17" s="25" t="n">
        <f aca="false">PPMT(Assumptions!$B$11,3,Assumptions!$B$12,Assumptions!$B$10)</f>
        <v>-1.06221566001688</v>
      </c>
      <c r="F17" s="25" t="n">
        <f aca="false">PPMT(Assumptions!$B$11,4,Assumptions!$B$12,Assumptions!$B$10)</f>
        <v>-1.1578150694184</v>
      </c>
      <c r="G17" s="25" t="n">
        <f aca="false">PPMT(Assumptions!$B$11,5,Assumptions!$B$12,Assumptions!$B$10)</f>
        <v>-1.26201842566605</v>
      </c>
    </row>
    <row r="19" customFormat="false" ht="15" hidden="false" customHeight="false" outlineLevel="0" collapsed="false">
      <c r="A19" s="23" t="s">
        <v>98</v>
      </c>
      <c r="B19" s="24"/>
      <c r="C19" s="24"/>
      <c r="D19" s="24"/>
      <c r="E19" s="24"/>
      <c r="F19" s="24"/>
      <c r="G19" s="24"/>
    </row>
    <row r="20" customFormat="false" ht="15" hidden="false" customHeight="false" outlineLevel="0" collapsed="false">
      <c r="A20" s="4" t="s">
        <v>99</v>
      </c>
      <c r="B20" s="25" t="n">
        <f aca="false">0</f>
        <v>0</v>
      </c>
      <c r="C20" s="25" t="n">
        <f aca="false">C13+C16</f>
        <v>1.03366</v>
      </c>
      <c r="D20" s="25" t="n">
        <f aca="false">D13+D16</f>
        <v>1.06214331026136</v>
      </c>
      <c r="E20" s="25" t="n">
        <f aca="false">E13+E16</f>
        <v>1.09675329444624</v>
      </c>
      <c r="F20" s="25" t="n">
        <f aca="false">F13+F16</f>
        <v>1.13807853732776</v>
      </c>
      <c r="G20" s="25" t="n">
        <f aca="false">G13+G16</f>
        <v>1.18676316038801</v>
      </c>
    </row>
    <row r="21" customFormat="false" ht="15" hidden="false" customHeight="false" outlineLevel="0" collapsed="false">
      <c r="A21" s="4" t="s">
        <v>100</v>
      </c>
      <c r="B21" s="25" t="n">
        <f aca="false">0</f>
        <v>0</v>
      </c>
      <c r="C21" s="25" t="n">
        <f aca="false">-MAX(0,C20)*Assumptions!$B$19</f>
        <v>-0.258415</v>
      </c>
      <c r="D21" s="25" t="n">
        <f aca="false">-MAX(0,D20)*Assumptions!$B$19</f>
        <v>-0.265535827565339</v>
      </c>
      <c r="E21" s="25" t="n">
        <f aca="false">-MAX(0,E20)*Assumptions!$B$19</f>
        <v>-0.274188323611559</v>
      </c>
      <c r="F21" s="25" t="n">
        <f aca="false">-MAX(0,F20)*Assumptions!$B$19</f>
        <v>-0.284519634331939</v>
      </c>
      <c r="G21" s="25" t="n">
        <f aca="false">-MAX(0,G20)*Assumptions!$B$19</f>
        <v>-0.296690790097003</v>
      </c>
    </row>
    <row r="22" customFormat="false" ht="15" hidden="false" customHeight="false" outlineLevel="0" collapsed="false">
      <c r="A22" s="9" t="s">
        <v>101</v>
      </c>
      <c r="B22" s="28" t="n">
        <f aca="false">0</f>
        <v>0</v>
      </c>
      <c r="C22" s="28" t="n">
        <f aca="false">C20+C21</f>
        <v>0.775245</v>
      </c>
      <c r="D22" s="28" t="n">
        <f aca="false">D20+D21</f>
        <v>0.796607482696018</v>
      </c>
      <c r="E22" s="28" t="n">
        <f aca="false">E20+E21</f>
        <v>0.822564970834677</v>
      </c>
      <c r="F22" s="28" t="n">
        <f aca="false">F20+F21</f>
        <v>0.853558902995818</v>
      </c>
      <c r="G22" s="28" t="n">
        <f aca="false">G20+G21</f>
        <v>0.890072370291008</v>
      </c>
    </row>
    <row r="23" customFormat="false" ht="15" hidden="false" customHeight="false" outlineLevel="0" collapsed="false">
      <c r="A23" s="29" t="s">
        <v>102</v>
      </c>
      <c r="B23" s="30" t="n">
        <f aca="false">-Assumptions!$B$9</f>
        <v>-11.25</v>
      </c>
      <c r="C23" s="30" t="n">
        <f aca="false">C22-C12+C17</f>
        <v>1.38119933042936</v>
      </c>
      <c r="D23" s="30" t="n">
        <f aca="false">D22-D12+D17</f>
        <v>1.32209770286402</v>
      </c>
      <c r="E23" s="30" t="n">
        <f aca="false">E22-E12+E17</f>
        <v>1.2603493108178</v>
      </c>
      <c r="F23" s="30" t="n">
        <f aca="false">F22-F12+F17</f>
        <v>1.19574383357742</v>
      </c>
      <c r="G23" s="30" t="n">
        <f aca="false">G22-G12+G17</f>
        <v>1.12805394462496</v>
      </c>
    </row>
    <row r="25" customFormat="false" ht="15" hidden="false" customHeight="false" outlineLevel="0" collapsed="false">
      <c r="A25" s="2" t="s">
        <v>103</v>
      </c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2" t="s">
        <v>104</v>
      </c>
      <c r="B26" s="2"/>
      <c r="C26" s="2"/>
      <c r="D26" s="2"/>
      <c r="E26" s="2"/>
      <c r="F26" s="2"/>
      <c r="G26" s="2"/>
    </row>
  </sheetData>
  <mergeCells count="4">
    <mergeCell ref="A1:G1"/>
    <mergeCell ref="A2:G2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5" min="3" style="0" width="13"/>
    <col collapsed="false" customWidth="true" hidden="false" outlineLevel="0" max="6" min="6" style="0" width="42"/>
    <col collapsed="false" customWidth="true" hidden="false" outlineLevel="0" max="27" min="7" style="0" width="7"/>
  </cols>
  <sheetData>
    <row r="1" customFormat="false" ht="19.7" hidden="false" customHeight="false" outlineLevel="0" collapsed="false">
      <c r="A1" s="13" t="s">
        <v>105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2" t="s">
        <v>106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107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26" t="s">
        <v>108</v>
      </c>
      <c r="B5" s="31" t="s">
        <v>109</v>
      </c>
      <c r="C5" s="31"/>
      <c r="D5" s="31"/>
      <c r="E5" s="31"/>
      <c r="F5" s="31"/>
    </row>
    <row r="6" customFormat="false" ht="27.75" hidden="false" customHeight="true" outlineLevel="0" collapsed="false">
      <c r="A6" s="32" t="s">
        <v>110</v>
      </c>
      <c r="B6" s="33" t="s">
        <v>111</v>
      </c>
      <c r="C6" s="33"/>
      <c r="D6" s="33"/>
      <c r="E6" s="33"/>
      <c r="F6" s="33"/>
    </row>
    <row r="7" customFormat="false" ht="27.75" hidden="false" customHeight="true" outlineLevel="0" collapsed="false">
      <c r="A7" s="32" t="s">
        <v>112</v>
      </c>
      <c r="B7" s="33" t="s">
        <v>113</v>
      </c>
      <c r="C7" s="33"/>
      <c r="D7" s="33"/>
      <c r="E7" s="33"/>
      <c r="F7" s="33"/>
    </row>
    <row r="8" customFormat="false" ht="27.75" hidden="false" customHeight="true" outlineLevel="0" collapsed="false">
      <c r="A8" s="32" t="s">
        <v>114</v>
      </c>
      <c r="B8" s="33" t="s">
        <v>115</v>
      </c>
      <c r="C8" s="33"/>
      <c r="D8" s="33"/>
      <c r="E8" s="33"/>
      <c r="F8" s="33"/>
    </row>
    <row r="9" customFormat="false" ht="27.75" hidden="false" customHeight="true" outlineLevel="0" collapsed="false">
      <c r="A9" s="32" t="s">
        <v>116</v>
      </c>
      <c r="B9" s="33" t="s">
        <v>117</v>
      </c>
      <c r="C9" s="33"/>
      <c r="D9" s="33"/>
      <c r="E9" s="33"/>
      <c r="F9" s="33"/>
    </row>
    <row r="10" customFormat="false" ht="27.75" hidden="false" customHeight="true" outlineLevel="0" collapsed="false">
      <c r="A10" s="32" t="s">
        <v>118</v>
      </c>
      <c r="B10" s="33" t="s">
        <v>119</v>
      </c>
      <c r="C10" s="33"/>
      <c r="D10" s="33"/>
      <c r="E10" s="33"/>
      <c r="F10" s="33"/>
    </row>
    <row r="11" customFormat="false" ht="27.75" hidden="false" customHeight="true" outlineLevel="0" collapsed="false">
      <c r="A11" s="32" t="s">
        <v>120</v>
      </c>
      <c r="B11" s="33" t="s">
        <v>121</v>
      </c>
      <c r="C11" s="33"/>
      <c r="D11" s="33"/>
      <c r="E11" s="33"/>
      <c r="F11" s="33"/>
    </row>
    <row r="14" customFormat="false" ht="15" hidden="false" customHeight="false" outlineLevel="0" collapsed="false">
      <c r="A14" s="3" t="s">
        <v>122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14" t="s">
        <v>123</v>
      </c>
      <c r="B15" s="14" t="s">
        <v>124</v>
      </c>
      <c r="C15" s="14" t="s">
        <v>125</v>
      </c>
      <c r="D15" s="14" t="s">
        <v>126</v>
      </c>
      <c r="E15" s="14" t="s">
        <v>18</v>
      </c>
      <c r="F15" s="14" t="s">
        <v>127</v>
      </c>
    </row>
    <row r="16" customFormat="false" ht="15" hidden="false" customHeight="false" outlineLevel="0" collapsed="false">
      <c r="A16" s="9" t="s">
        <v>128</v>
      </c>
      <c r="B16" s="21" t="n">
        <v>0.22</v>
      </c>
      <c r="C16" s="19" t="n">
        <v>2.8</v>
      </c>
      <c r="D16" s="34" t="n">
        <v>1</v>
      </c>
      <c r="E16" s="35" t="n">
        <f aca="false">IFERROR(IRR(B26:AA26),"&lt;0% Loss")</f>
        <v>0.108924190204938</v>
      </c>
      <c r="F16" s="18" t="s">
        <v>129</v>
      </c>
    </row>
    <row r="17" customFormat="false" ht="15" hidden="false" customHeight="false" outlineLevel="0" collapsed="false">
      <c r="A17" s="9" t="s">
        <v>22</v>
      </c>
      <c r="B17" s="21" t="n">
        <v>0.22</v>
      </c>
      <c r="C17" s="19" t="n">
        <v>2.52</v>
      </c>
      <c r="D17" s="34" t="n">
        <v>1</v>
      </c>
      <c r="E17" s="36" t="n">
        <f aca="false">IFERROR(IRR(B27:AA27),"&lt;0% Loss")</f>
        <v>0.0764875604171287</v>
      </c>
      <c r="F17" s="18" t="s">
        <v>23</v>
      </c>
    </row>
    <row r="18" customFormat="false" ht="15" hidden="false" customHeight="false" outlineLevel="0" collapsed="false">
      <c r="A18" s="9" t="s">
        <v>24</v>
      </c>
      <c r="B18" s="21" t="n">
        <v>0.18</v>
      </c>
      <c r="C18" s="19" t="n">
        <v>2.8</v>
      </c>
      <c r="D18" s="34" t="n">
        <v>1</v>
      </c>
      <c r="E18" s="36" t="n">
        <f aca="false">IFERROR(IRR(B28:AA28),"&lt;0% Loss")</f>
        <v>0.0504258883823796</v>
      </c>
      <c r="F18" s="18" t="s">
        <v>130</v>
      </c>
    </row>
    <row r="19" customFormat="false" ht="15" hidden="false" customHeight="false" outlineLevel="0" collapsed="false">
      <c r="A19" s="9" t="s">
        <v>26</v>
      </c>
      <c r="B19" s="21" t="n">
        <v>0.22</v>
      </c>
      <c r="C19" s="19" t="n">
        <v>2.8</v>
      </c>
      <c r="D19" s="34" t="n">
        <v>1.15</v>
      </c>
      <c r="E19" s="36" t="n">
        <f aca="false">IFERROR(IRR(B29:AA29),"&lt;0% Loss")</f>
        <v>0.0732083182854843</v>
      </c>
      <c r="F19" s="18" t="s">
        <v>27</v>
      </c>
    </row>
    <row r="20" customFormat="false" ht="15" hidden="false" customHeight="false" outlineLevel="0" collapsed="false">
      <c r="A20" s="9" t="s">
        <v>28</v>
      </c>
      <c r="B20" s="21" t="n">
        <v>0.18</v>
      </c>
      <c r="C20" s="19" t="n">
        <v>2.52</v>
      </c>
      <c r="D20" s="34" t="n">
        <v>1.15</v>
      </c>
      <c r="E20" s="36" t="n">
        <f aca="false">IFERROR(IRR(B30:AA30),"&lt;0% Loss")</f>
        <v>-0.00332125093765967</v>
      </c>
      <c r="F20" s="18" t="s">
        <v>131</v>
      </c>
    </row>
    <row r="21" customFormat="false" ht="15" hidden="false" customHeight="false" outlineLevel="0" collapsed="false">
      <c r="A21" s="9" t="s">
        <v>132</v>
      </c>
      <c r="B21" s="21" t="n">
        <v>0.25</v>
      </c>
      <c r="C21" s="19" t="n">
        <v>3</v>
      </c>
      <c r="D21" s="34" t="n">
        <v>1</v>
      </c>
      <c r="E21" s="35" t="n">
        <f aca="false">IFERROR(IRR(B31:AA31),"&lt;0% Loss")</f>
        <v>0.182715365403871</v>
      </c>
      <c r="F21" s="18" t="s">
        <v>31</v>
      </c>
    </row>
    <row r="24" customFormat="false" ht="15" hidden="false" customHeight="false" outlineLevel="0" collapsed="false">
      <c r="A24" s="2" t="s">
        <v>133</v>
      </c>
      <c r="B24" s="2"/>
      <c r="C24" s="2"/>
      <c r="D24" s="2"/>
      <c r="E24" s="2"/>
      <c r="F24" s="2"/>
    </row>
    <row r="25" customFormat="false" ht="15" hidden="false" customHeight="false" outlineLevel="0" collapsed="false">
      <c r="A25" s="37" t="s">
        <v>123</v>
      </c>
      <c r="B25" s="38" t="s">
        <v>134</v>
      </c>
      <c r="C25" s="38" t="s">
        <v>135</v>
      </c>
      <c r="D25" s="38" t="s">
        <v>136</v>
      </c>
      <c r="E25" s="38" t="s">
        <v>137</v>
      </c>
      <c r="F25" s="38" t="s">
        <v>138</v>
      </c>
      <c r="G25" s="38" t="s">
        <v>139</v>
      </c>
      <c r="H25" s="38" t="s">
        <v>140</v>
      </c>
      <c r="I25" s="38" t="s">
        <v>141</v>
      </c>
      <c r="J25" s="38" t="s">
        <v>142</v>
      </c>
      <c r="K25" s="38" t="s">
        <v>143</v>
      </c>
      <c r="L25" s="38" t="s">
        <v>144</v>
      </c>
      <c r="M25" s="38" t="s">
        <v>145</v>
      </c>
      <c r="N25" s="38" t="s">
        <v>146</v>
      </c>
      <c r="O25" s="38" t="s">
        <v>147</v>
      </c>
      <c r="P25" s="38" t="s">
        <v>148</v>
      </c>
      <c r="Q25" s="38" t="s">
        <v>149</v>
      </c>
      <c r="R25" s="38" t="s">
        <v>150</v>
      </c>
      <c r="S25" s="38" t="s">
        <v>151</v>
      </c>
      <c r="T25" s="38" t="s">
        <v>152</v>
      </c>
      <c r="U25" s="38" t="s">
        <v>153</v>
      </c>
      <c r="V25" s="38" t="s">
        <v>154</v>
      </c>
      <c r="W25" s="38" t="s">
        <v>155</v>
      </c>
      <c r="X25" s="38" t="s">
        <v>156</v>
      </c>
      <c r="Y25" s="38" t="s">
        <v>157</v>
      </c>
      <c r="Z25" s="38" t="s">
        <v>158</v>
      </c>
      <c r="AA25" s="38" t="s">
        <v>159</v>
      </c>
    </row>
    <row r="26" customFormat="false" ht="15" hidden="false" customHeight="false" outlineLevel="0" collapsed="false">
      <c r="A26" s="37" t="s">
        <v>128</v>
      </c>
      <c r="B26" s="39" t="n">
        <f aca="false">-((Assumptions!$B$7*$D$16)*Assumptions!$B$8)</f>
        <v>-11.25</v>
      </c>
      <c r="C26" s="39" t="n">
        <f aca="false">(((((Assumptions!$B$5*8760*$B$16*(1-Assumptions!$B$16)^(1-1)/1000)*$C$16/10)+(-Assumptions!$B$17*(1+Assumptions!$B$18)^(1-1)))+IF(1&lt;=Assumptions!$B$20,-(Assumptions!$B$7*$D$16)/Assumptions!$B$20,0)+IF(1&lt;=Assumptions!$B$12,IPMT(Assumptions!$B$11,1,Assumptions!$B$12,((Assumptions!$B$7*$D$16)*(1-Assumptions!$B$8))),0))+(-MAX(0,((((Assumptions!$B$5*8760*$B$16*(1-Assumptions!$B$16)^(1-1)/1000)*$C$16/10)+(-Assumptions!$B$17*(1+Assumptions!$B$18)^(1-1)))+IF(1&lt;=Assumptions!$B$20,-(Assumptions!$B$7*$D$16)/Assumptions!$B$20,0)+IF(1&lt;=Assumptions!$B$12,IPMT(Assumptions!$B$11,1,Assumptions!$B$12,((Assumptions!$B$7*$D$16)*(1-Assumptions!$B$8))),0)))*Assumptions!$B$19))-(IF(1&lt;=Assumptions!$B$20,-(Assumptions!$B$7*$D$16)/Assumptions!$B$20,0))+(IF(1&lt;=Assumptions!$B$12,PPMT(Assumptions!$B$11,1,Assumptions!$B$12,((Assumptions!$B$7*$D$16)*(1-Assumptions!$B$8))),0))</f>
        <v>1.38119933042936</v>
      </c>
      <c r="D26" s="39" t="n">
        <f aca="false">(((((Assumptions!$B$5*8760*$B$16*(1-Assumptions!$B$16)^(2-1)/1000)*$C$16/10)+(-Assumptions!$B$17*(1+Assumptions!$B$18)^(2-1)))+IF(2&lt;=Assumptions!$B$20,-(Assumptions!$B$7*$D$16)/Assumptions!$B$20,0)+IF(2&lt;=Assumptions!$B$12,IPMT(Assumptions!$B$11,2,Assumptions!$B$12,((Assumptions!$B$7*$D$16)*(1-Assumptions!$B$8))),0))+(-MAX(0,((((Assumptions!$B$5*8760*$B$16*(1-Assumptions!$B$16)^(2-1)/1000)*$C$16/10)+(-Assumptions!$B$17*(1+Assumptions!$B$18)^(2-1)))+IF(2&lt;=Assumptions!$B$20,-(Assumptions!$B$7*$D$16)/Assumptions!$B$20,0)+IF(2&lt;=Assumptions!$B$12,IPMT(Assumptions!$B$11,2,Assumptions!$B$12,((Assumptions!$B$7*$D$16)*(1-Assumptions!$B$8))),0)))*Assumptions!$B$19))-(IF(2&lt;=Assumptions!$B$20,-(Assumptions!$B$7*$D$16)/Assumptions!$B$20,0))+(IF(2&lt;=Assumptions!$B$12,PPMT(Assumptions!$B$11,2,Assumptions!$B$12,((Assumptions!$B$7*$D$16)*(1-Assumptions!$B$8))),0))</f>
        <v>1.32209770286402</v>
      </c>
      <c r="E26" s="39" t="n">
        <f aca="false">(((((Assumptions!$B$5*8760*$B$16*(1-Assumptions!$B$16)^(3-1)/1000)*$C$16/10)+(-Assumptions!$B$17*(1+Assumptions!$B$18)^(3-1)))+IF(3&lt;=Assumptions!$B$20,-(Assumptions!$B$7*$D$16)/Assumptions!$B$20,0)+IF(3&lt;=Assumptions!$B$12,IPMT(Assumptions!$B$11,3,Assumptions!$B$12,((Assumptions!$B$7*$D$16)*(1-Assumptions!$B$8))),0))+(-MAX(0,((((Assumptions!$B$5*8760*$B$16*(1-Assumptions!$B$16)^(3-1)/1000)*$C$16/10)+(-Assumptions!$B$17*(1+Assumptions!$B$18)^(3-1)))+IF(3&lt;=Assumptions!$B$20,-(Assumptions!$B$7*$D$16)/Assumptions!$B$20,0)+IF(3&lt;=Assumptions!$B$12,IPMT(Assumptions!$B$11,3,Assumptions!$B$12,((Assumptions!$B$7*$D$16)*(1-Assumptions!$B$8))),0)))*Assumptions!$B$19))-(IF(3&lt;=Assumptions!$B$20,-(Assumptions!$B$7*$D$16)/Assumptions!$B$20,0))+(IF(3&lt;=Assumptions!$B$12,PPMT(Assumptions!$B$11,3,Assumptions!$B$12,((Assumptions!$B$7*$D$16)*(1-Assumptions!$B$8))),0))</f>
        <v>1.2603493108178</v>
      </c>
      <c r="F26" s="39" t="n">
        <f aca="false">(((((Assumptions!$B$5*8760*$B$16*(1-Assumptions!$B$16)^(4-1)/1000)*$C$16/10)+(-Assumptions!$B$17*(1+Assumptions!$B$18)^(4-1)))+IF(4&lt;=Assumptions!$B$20,-(Assumptions!$B$7*$D$16)/Assumptions!$B$20,0)+IF(4&lt;=Assumptions!$B$12,IPMT(Assumptions!$B$11,4,Assumptions!$B$12,((Assumptions!$B$7*$D$16)*(1-Assumptions!$B$8))),0))+(-MAX(0,((((Assumptions!$B$5*8760*$B$16*(1-Assumptions!$B$16)^(4-1)/1000)*$C$16/10)+(-Assumptions!$B$17*(1+Assumptions!$B$18)^(4-1)))+IF(4&lt;=Assumptions!$B$20,-(Assumptions!$B$7*$D$16)/Assumptions!$B$20,0)+IF(4&lt;=Assumptions!$B$12,IPMT(Assumptions!$B$11,4,Assumptions!$B$12,((Assumptions!$B$7*$D$16)*(1-Assumptions!$B$8))),0)))*Assumptions!$B$19))-(IF(4&lt;=Assumptions!$B$20,-(Assumptions!$B$7*$D$16)/Assumptions!$B$20,0))+(IF(4&lt;=Assumptions!$B$12,PPMT(Assumptions!$B$11,4,Assumptions!$B$12,((Assumptions!$B$7*$D$16)*(1-Assumptions!$B$8))),0))</f>
        <v>1.19574383357742</v>
      </c>
      <c r="G26" s="39" t="n">
        <f aca="false">(((((Assumptions!$B$5*8760*$B$16*(1-Assumptions!$B$16)^(5-1)/1000)*$C$16/10)+(-Assumptions!$B$17*(1+Assumptions!$B$18)^(5-1)))+IF(5&lt;=Assumptions!$B$20,-(Assumptions!$B$7*$D$16)/Assumptions!$B$20,0)+IF(5&lt;=Assumptions!$B$12,IPMT(Assumptions!$B$11,5,Assumptions!$B$12,((Assumptions!$B$7*$D$16)*(1-Assumptions!$B$8))),0))+(-MAX(0,((((Assumptions!$B$5*8760*$B$16*(1-Assumptions!$B$16)^(5-1)/1000)*$C$16/10)+(-Assumptions!$B$17*(1+Assumptions!$B$18)^(5-1)))+IF(5&lt;=Assumptions!$B$20,-(Assumptions!$B$7*$D$16)/Assumptions!$B$20,0)+IF(5&lt;=Assumptions!$B$12,IPMT(Assumptions!$B$11,5,Assumptions!$B$12,((Assumptions!$B$7*$D$16)*(1-Assumptions!$B$8))),0)))*Assumptions!$B$19))-(IF(5&lt;=Assumptions!$B$20,-(Assumptions!$B$7*$D$16)/Assumptions!$B$20,0))+(IF(5&lt;=Assumptions!$B$12,PPMT(Assumptions!$B$11,5,Assumptions!$B$12,((Assumptions!$B$7*$D$16)*(1-Assumptions!$B$8))),0))</f>
        <v>1.12805394462496</v>
      </c>
      <c r="H26" s="39" t="n">
        <f aca="false">(((((Assumptions!$B$5*8760*$B$16*(1-Assumptions!$B$16)^(6-1)/1000)*$C$16/10)+(-Assumptions!$B$17*(1+Assumptions!$B$18)^(6-1)))+IF(6&lt;=Assumptions!$B$20,-(Assumptions!$B$7*$D$16)/Assumptions!$B$20,0)+IF(6&lt;=Assumptions!$B$12,IPMT(Assumptions!$B$11,6,Assumptions!$B$12,((Assumptions!$B$7*$D$16)*(1-Assumptions!$B$8))),0))+(-MAX(0,((((Assumptions!$B$5*8760*$B$16*(1-Assumptions!$B$16)^(6-1)/1000)*$C$16/10)+(-Assumptions!$B$17*(1+Assumptions!$B$18)^(6-1)))+IF(6&lt;=Assumptions!$B$20,-(Assumptions!$B$7*$D$16)/Assumptions!$B$20,0)+IF(6&lt;=Assumptions!$B$12,IPMT(Assumptions!$B$11,6,Assumptions!$B$12,((Assumptions!$B$7*$D$16)*(1-Assumptions!$B$8))),0)))*Assumptions!$B$19))-(IF(6&lt;=Assumptions!$B$20,-(Assumptions!$B$7*$D$16)/Assumptions!$B$20,0))+(IF(6&lt;=Assumptions!$B$12,PPMT(Assumptions!$B$11,6,Assumptions!$B$12,((Assumptions!$B$7*$D$16)*(1-Assumptions!$B$8))),0))</f>
        <v>1.05703387462512</v>
      </c>
      <c r="I26" s="39" t="n">
        <f aca="false">(((((Assumptions!$B$5*8760*$B$16*(1-Assumptions!$B$16)^(7-1)/1000)*$C$16/10)+(-Assumptions!$B$17*(1+Assumptions!$B$18)^(7-1)))+IF(7&lt;=Assumptions!$B$20,-(Assumptions!$B$7*$D$16)/Assumptions!$B$20,0)+IF(7&lt;=Assumptions!$B$12,IPMT(Assumptions!$B$11,7,Assumptions!$B$12,((Assumptions!$B$7*$D$16)*(1-Assumptions!$B$8))),0))+(-MAX(0,((((Assumptions!$B$5*8760*$B$16*(1-Assumptions!$B$16)^(7-1)/1000)*$C$16/10)+(-Assumptions!$B$17*(1+Assumptions!$B$18)^(7-1)))+IF(7&lt;=Assumptions!$B$20,-(Assumptions!$B$7*$D$16)/Assumptions!$B$20,0)+IF(7&lt;=Assumptions!$B$12,IPMT(Assumptions!$B$11,7,Assumptions!$B$12,((Assumptions!$B$7*$D$16)*(1-Assumptions!$B$8))),0)))*Assumptions!$B$19))-(IF(7&lt;=Assumptions!$B$20,-(Assumptions!$B$7*$D$16)/Assumptions!$B$20,0))+(IF(7&lt;=Assumptions!$B$12,PPMT(Assumptions!$B$11,7,Assumptions!$B$12,((Assumptions!$B$7*$D$16)*(1-Assumptions!$B$8))),0))</f>
        <v>0.982417849770117</v>
      </c>
      <c r="J26" s="39" t="n">
        <f aca="false">(((((Assumptions!$B$5*8760*$B$16*(1-Assumptions!$B$16)^(8-1)/1000)*$C$16/10)+(-Assumptions!$B$17*(1+Assumptions!$B$18)^(8-1)))+IF(8&lt;=Assumptions!$B$20,-(Assumptions!$B$7*$D$16)/Assumptions!$B$20,0)+IF(8&lt;=Assumptions!$B$12,IPMT(Assumptions!$B$11,8,Assumptions!$B$12,((Assumptions!$B$7*$D$16)*(1-Assumptions!$B$8))),0))+(-MAX(0,((((Assumptions!$B$5*8760*$B$16*(1-Assumptions!$B$16)^(8-1)/1000)*$C$16/10)+(-Assumptions!$B$17*(1+Assumptions!$B$18)^(8-1)))+IF(8&lt;=Assumptions!$B$20,-(Assumptions!$B$7*$D$16)/Assumptions!$B$20,0)+IF(8&lt;=Assumptions!$B$12,IPMT(Assumptions!$B$11,8,Assumptions!$B$12,((Assumptions!$B$7*$D$16)*(1-Assumptions!$B$8))),0)))*Assumptions!$B$19))-(IF(8&lt;=Assumptions!$B$20,-(Assumptions!$B$7*$D$16)/Assumptions!$B$20,0))+(IF(8&lt;=Assumptions!$B$12,PPMT(Assumptions!$B$11,8,Assumptions!$B$12,((Assumptions!$B$7*$D$16)*(1-Assumptions!$B$8))),0))</f>
        <v>0.903918394498555</v>
      </c>
      <c r="K26" s="39" t="n">
        <f aca="false">(((((Assumptions!$B$5*8760*$B$16*(1-Assumptions!$B$16)^(9-1)/1000)*$C$16/10)+(-Assumptions!$B$17*(1+Assumptions!$B$18)^(9-1)))+IF(9&lt;=Assumptions!$B$20,-(Assumptions!$B$7*$D$16)/Assumptions!$B$20,0)+IF(9&lt;=Assumptions!$B$12,IPMT(Assumptions!$B$11,9,Assumptions!$B$12,((Assumptions!$B$7*$D$16)*(1-Assumptions!$B$8))),0))+(-MAX(0,((((Assumptions!$B$5*8760*$B$16*(1-Assumptions!$B$16)^(9-1)/1000)*$C$16/10)+(-Assumptions!$B$17*(1+Assumptions!$B$18)^(9-1)))+IF(9&lt;=Assumptions!$B$20,-(Assumptions!$B$7*$D$16)/Assumptions!$B$20,0)+IF(9&lt;=Assumptions!$B$12,IPMT(Assumptions!$B$11,9,Assumptions!$B$12,((Assumptions!$B$7*$D$16)*(1-Assumptions!$B$8))),0)))*Assumptions!$B$19))-(IF(9&lt;=Assumptions!$B$20,-(Assumptions!$B$7*$D$16)/Assumptions!$B$20,0))+(IF(9&lt;=Assumptions!$B$12,PPMT(Assumptions!$B$11,9,Assumptions!$B$12,((Assumptions!$B$7*$D$16)*(1-Assumptions!$B$8))),0))</f>
        <v>0.821224486628306</v>
      </c>
      <c r="L26" s="39" t="n">
        <f aca="false">(((((Assumptions!$B$5*8760*$B$16*(1-Assumptions!$B$16)^(10-1)/1000)*$C$16/10)+(-Assumptions!$B$17*(1+Assumptions!$B$18)^(10-1)))+IF(10&lt;=Assumptions!$B$20,-(Assumptions!$B$7*$D$16)/Assumptions!$B$20,0)+IF(10&lt;=Assumptions!$B$12,IPMT(Assumptions!$B$11,10,Assumptions!$B$12,((Assumptions!$B$7*$D$16)*(1-Assumptions!$B$8))),0))+(-MAX(0,((((Assumptions!$B$5*8760*$B$16*(1-Assumptions!$B$16)^(10-1)/1000)*$C$16/10)+(-Assumptions!$B$17*(1+Assumptions!$B$18)^(10-1)))+IF(10&lt;=Assumptions!$B$20,-(Assumptions!$B$7*$D$16)/Assumptions!$B$20,0)+IF(10&lt;=Assumptions!$B$12,IPMT(Assumptions!$B$11,10,Assumptions!$B$12,((Assumptions!$B$7*$D$16)*(1-Assumptions!$B$8))),0)))*Assumptions!$B$19))-(IF(10&lt;=Assumptions!$B$20,-(Assumptions!$B$7*$D$16)/Assumptions!$B$20,0))+(IF(10&lt;=Assumptions!$B$12,PPMT(Assumptions!$B$11,10,Assumptions!$B$12,((Assumptions!$B$7*$D$16)*(1-Assumptions!$B$8))),0))</f>
        <v>0.73399955187878</v>
      </c>
      <c r="M26" s="39" t="n">
        <f aca="false">(((((Assumptions!$B$5*8760*$B$16*(1-Assumptions!$B$16)^(11-1)/1000)*$C$16/10)+(-Assumptions!$B$17*(1+Assumptions!$B$18)^(11-1)))+IF(11&lt;=Assumptions!$B$20,-(Assumptions!$B$7*$D$16)/Assumptions!$B$20,0)+IF(11&lt;=Assumptions!$B$12,IPMT(Assumptions!$B$11,11,Assumptions!$B$12,((Assumptions!$B$7*$D$16)*(1-Assumptions!$B$8))),0))+(-MAX(0,((((Assumptions!$B$5*8760*$B$16*(1-Assumptions!$B$16)^(11-1)/1000)*$C$16/10)+(-Assumptions!$B$17*(1+Assumptions!$B$18)^(11-1)))+IF(11&lt;=Assumptions!$B$20,-(Assumptions!$B$7*$D$16)/Assumptions!$B$20,0)+IF(11&lt;=Assumptions!$B$12,IPMT(Assumptions!$B$11,11,Assumptions!$B$12,((Assumptions!$B$7*$D$16)*(1-Assumptions!$B$8))),0)))*Assumptions!$B$19))-(IF(11&lt;=Assumptions!$B$20,-(Assumptions!$B$7*$D$16)/Assumptions!$B$20,0))+(IF(11&lt;=Assumptions!$B$12,PPMT(Assumptions!$B$11,11,Assumptions!$B$12,((Assumptions!$B$7*$D$16)*(1-Assumptions!$B$8))),0))</f>
        <v>0.641879283599134</v>
      </c>
      <c r="N26" s="39" t="n">
        <f aca="false">(((((Assumptions!$B$5*8760*$B$16*(1-Assumptions!$B$16)^(12-1)/1000)*$C$16/10)+(-Assumptions!$B$17*(1+Assumptions!$B$18)^(12-1)))+IF(12&lt;=Assumptions!$B$20,-(Assumptions!$B$7*$D$16)/Assumptions!$B$20,0)+IF(12&lt;=Assumptions!$B$12,IPMT(Assumptions!$B$11,12,Assumptions!$B$12,((Assumptions!$B$7*$D$16)*(1-Assumptions!$B$8))),0))+(-MAX(0,((((Assumptions!$B$5*8760*$B$16*(1-Assumptions!$B$16)^(12-1)/1000)*$C$16/10)+(-Assumptions!$B$17*(1+Assumptions!$B$18)^(12-1)))+IF(12&lt;=Assumptions!$B$20,-(Assumptions!$B$7*$D$16)/Assumptions!$B$20,0)+IF(12&lt;=Assumptions!$B$12,IPMT(Assumptions!$B$11,12,Assumptions!$B$12,((Assumptions!$B$7*$D$16)*(1-Assumptions!$B$8))),0)))*Assumptions!$B$19))-(IF(12&lt;=Assumptions!$B$20,-(Assumptions!$B$7*$D$16)/Assumptions!$B$20,0))+(IF(12&lt;=Assumptions!$B$12,PPMT(Assumptions!$B$11,12,Assumptions!$B$12,((Assumptions!$B$7*$D$16)*(1-Assumptions!$B$8))),0))</f>
        <v>0.544469272255725</v>
      </c>
      <c r="O26" s="39" t="n">
        <f aca="false">(((((Assumptions!$B$5*8760*$B$16*(1-Assumptions!$B$16)^(13-1)/1000)*$C$16/10)+(-Assumptions!$B$17*(1+Assumptions!$B$18)^(13-1)))+IF(13&lt;=Assumptions!$B$20,-(Assumptions!$B$7*$D$16)/Assumptions!$B$20,0)+IF(13&lt;=Assumptions!$B$12,IPMT(Assumptions!$B$11,13,Assumptions!$B$12,((Assumptions!$B$7*$D$16)*(1-Assumptions!$B$8))),0))+(-MAX(0,((((Assumptions!$B$5*8760*$B$16*(1-Assumptions!$B$16)^(13-1)/1000)*$C$16/10)+(-Assumptions!$B$17*(1+Assumptions!$B$18)^(13-1)))+IF(13&lt;=Assumptions!$B$20,-(Assumptions!$B$7*$D$16)/Assumptions!$B$20,0)+IF(13&lt;=Assumptions!$B$12,IPMT(Assumptions!$B$11,13,Assumptions!$B$12,((Assumptions!$B$7*$D$16)*(1-Assumptions!$B$8))),0)))*Assumptions!$B$19))-(IF(13&lt;=Assumptions!$B$20,-(Assumptions!$B$7*$D$16)/Assumptions!$B$20,0))+(IF(13&lt;=Assumptions!$B$12,PPMT(Assumptions!$B$11,13,Assumptions!$B$12,((Assumptions!$B$7*$D$16)*(1-Assumptions!$B$8))),0))</f>
        <v>0.441342427856318</v>
      </c>
      <c r="P26" s="39" t="n">
        <f aca="false">(((((Assumptions!$B$5*8760*$B$16*(1-Assumptions!$B$16)^(14-1)/1000)*$C$16/10)+(-Assumptions!$B$17*(1+Assumptions!$B$18)^(14-1)))+IF(14&lt;=Assumptions!$B$20,-(Assumptions!$B$7*$D$16)/Assumptions!$B$20,0)+IF(14&lt;=Assumptions!$B$12,IPMT(Assumptions!$B$11,14,Assumptions!$B$12,((Assumptions!$B$7*$D$16)*(1-Assumptions!$B$8))),0))+(-MAX(0,((((Assumptions!$B$5*8760*$B$16*(1-Assumptions!$B$16)^(14-1)/1000)*$C$16/10)+(-Assumptions!$B$17*(1+Assumptions!$B$18)^(14-1)))+IF(14&lt;=Assumptions!$B$20,-(Assumptions!$B$7*$D$16)/Assumptions!$B$20,0)+IF(14&lt;=Assumptions!$B$12,IPMT(Assumptions!$B$11,14,Assumptions!$B$12,((Assumptions!$B$7*$D$16)*(1-Assumptions!$B$8))),0)))*Assumptions!$B$19))-(IF(14&lt;=Assumptions!$B$20,-(Assumptions!$B$7*$D$16)/Assumptions!$B$20,0))+(IF(14&lt;=Assumptions!$B$12,PPMT(Assumptions!$B$11,14,Assumptions!$B$12,((Assumptions!$B$7*$D$16)*(1-Assumptions!$B$8))),0))</f>
        <v>0.332036176989403</v>
      </c>
      <c r="Q26" s="39" t="n">
        <f aca="false">(((((Assumptions!$B$5*8760*$B$16*(1-Assumptions!$B$16)^(15-1)/1000)*$C$16/10)+(-Assumptions!$B$17*(1+Assumptions!$B$18)^(15-1)))+IF(15&lt;=Assumptions!$B$20,-(Assumptions!$B$7*$D$16)/Assumptions!$B$20,0)+IF(15&lt;=Assumptions!$B$12,IPMT(Assumptions!$B$11,15,Assumptions!$B$12,((Assumptions!$B$7*$D$16)*(1-Assumptions!$B$8))),0))+(-MAX(0,((((Assumptions!$B$5*8760*$B$16*(1-Assumptions!$B$16)^(15-1)/1000)*$C$16/10)+(-Assumptions!$B$17*(1+Assumptions!$B$18)^(15-1)))+IF(15&lt;=Assumptions!$B$20,-(Assumptions!$B$7*$D$16)/Assumptions!$B$20,0)+IF(15&lt;=Assumptions!$B$12,IPMT(Assumptions!$B$11,15,Assumptions!$B$12,((Assumptions!$B$7*$D$16)*(1-Assumptions!$B$8))),0)))*Assumptions!$B$19))-(IF(15&lt;=Assumptions!$B$20,-(Assumptions!$B$7*$D$16)/Assumptions!$B$20,0))+(IF(15&lt;=Assumptions!$B$12,PPMT(Assumptions!$B$11,15,Assumptions!$B$12,((Assumptions!$B$7*$D$16)*(1-Assumptions!$B$8))),0))</f>
        <v>0.216049414523783</v>
      </c>
      <c r="R26" s="39" t="n">
        <f aca="false">(((((Assumptions!$B$5*8760*$B$16*(1-Assumptions!$B$16)^(16-1)/1000)*$C$16/10)+(-Assumptions!$B$17*(1+Assumptions!$B$18)^(16-1)))+IF(16&lt;=Assumptions!$B$20,-(Assumptions!$B$7*$D$16)/Assumptions!$B$20,0)+IF(16&lt;=Assumptions!$B$12,IPMT(Assumptions!$B$11,16,Assumptions!$B$12,((Assumptions!$B$7*$D$16)*(1-Assumptions!$B$8))),0))+(-MAX(0,((((Assumptions!$B$5*8760*$B$16*(1-Assumptions!$B$16)^(16-1)/1000)*$C$16/10)+(-Assumptions!$B$17*(1+Assumptions!$B$18)^(16-1)))+IF(16&lt;=Assumptions!$B$20,-(Assumptions!$B$7*$D$16)/Assumptions!$B$20,0)+IF(16&lt;=Assumptions!$B$12,IPMT(Assumptions!$B$11,16,Assumptions!$B$12,((Assumptions!$B$7*$D$16)*(1-Assumptions!$B$8))),0)))*Assumptions!$B$19))-(IF(16&lt;=Assumptions!$B$20,-(Assumptions!$B$7*$D$16)/Assumptions!$B$20,0))+(IF(16&lt;=Assumptions!$B$12,PPMT(Assumptions!$B$11,16,Assumptions!$B$12,((Assumptions!$B$7*$D$16)*(1-Assumptions!$B$8))),0))</f>
        <v>3.34938485780477</v>
      </c>
      <c r="S26" s="39" t="n">
        <f aca="false">(((((Assumptions!$B$5*8760*$B$16*(1-Assumptions!$B$16)^(17-1)/1000)*$C$16/10)+(-Assumptions!$B$17*(1+Assumptions!$B$18)^(17-1)))+IF(17&lt;=Assumptions!$B$20,-(Assumptions!$B$7*$D$16)/Assumptions!$B$20,0)+IF(17&lt;=Assumptions!$B$12,IPMT(Assumptions!$B$11,17,Assumptions!$B$12,((Assumptions!$B$7*$D$16)*(1-Assumptions!$B$8))),0))+(-MAX(0,((((Assumptions!$B$5*8760*$B$16*(1-Assumptions!$B$16)^(17-1)/1000)*$C$16/10)+(-Assumptions!$B$17*(1+Assumptions!$B$18)^(17-1)))+IF(17&lt;=Assumptions!$B$20,-(Assumptions!$B$7*$D$16)/Assumptions!$B$20,0)+IF(17&lt;=Assumptions!$B$12,IPMT(Assumptions!$B$11,17,Assumptions!$B$12,((Assumptions!$B$7*$D$16)*(1-Assumptions!$B$8))),0)))*Assumptions!$B$19))-(IF(17&lt;=Assumptions!$B$20,-(Assumptions!$B$7*$D$16)/Assumptions!$B$20,0))+(IF(17&lt;=Assumptions!$B$12,PPMT(Assumptions!$B$11,17,Assumptions!$B$12,((Assumptions!$B$7*$D$16)*(1-Assumptions!$B$8))),0))</f>
        <v>3.29163503981538</v>
      </c>
      <c r="T26" s="39" t="n">
        <f aca="false">(((((Assumptions!$B$5*8760*$B$16*(1-Assumptions!$B$16)^(18-1)/1000)*$C$16/10)+(-Assumptions!$B$17*(1+Assumptions!$B$18)^(18-1)))+IF(18&lt;=Assumptions!$B$20,-(Assumptions!$B$7*$D$16)/Assumptions!$B$20,0)+IF(18&lt;=Assumptions!$B$12,IPMT(Assumptions!$B$11,18,Assumptions!$B$12,((Assumptions!$B$7*$D$16)*(1-Assumptions!$B$8))),0))+(-MAX(0,((((Assumptions!$B$5*8760*$B$16*(1-Assumptions!$B$16)^(18-1)/1000)*$C$16/10)+(-Assumptions!$B$17*(1+Assumptions!$B$18)^(18-1)))+IF(18&lt;=Assumptions!$B$20,-(Assumptions!$B$7*$D$16)/Assumptions!$B$20,0)+IF(18&lt;=Assumptions!$B$12,IPMT(Assumptions!$B$11,18,Assumptions!$B$12,((Assumptions!$B$7*$D$16)*(1-Assumptions!$B$8))),0)))*Assumptions!$B$19))-(IF(18&lt;=Assumptions!$B$20,-(Assumptions!$B$7*$D$16)/Assumptions!$B$20,0))+(IF(18&lt;=Assumptions!$B$12,PPMT(Assumptions!$B$11,18,Assumptions!$B$12,((Assumptions!$B$7*$D$16)*(1-Assumptions!$B$8))),0))</f>
        <v>3.23203007623093</v>
      </c>
      <c r="U26" s="39" t="n">
        <f aca="false">(((((Assumptions!$B$5*8760*$B$16*(1-Assumptions!$B$16)^(19-1)/1000)*$C$16/10)+(-Assumptions!$B$17*(1+Assumptions!$B$18)^(19-1)))+IF(19&lt;=Assumptions!$B$20,-(Assumptions!$B$7*$D$16)/Assumptions!$B$20,0)+IF(19&lt;=Assumptions!$B$12,IPMT(Assumptions!$B$11,19,Assumptions!$B$12,((Assumptions!$B$7*$D$16)*(1-Assumptions!$B$8))),0))+(-MAX(0,((((Assumptions!$B$5*8760*$B$16*(1-Assumptions!$B$16)^(19-1)/1000)*$C$16/10)+(-Assumptions!$B$17*(1+Assumptions!$B$18)^(19-1)))+IF(19&lt;=Assumptions!$B$20,-(Assumptions!$B$7*$D$16)/Assumptions!$B$20,0)+IF(19&lt;=Assumptions!$B$12,IPMT(Assumptions!$B$11,19,Assumptions!$B$12,((Assumptions!$B$7*$D$16)*(1-Assumptions!$B$8))),0)))*Assumptions!$B$19))-(IF(19&lt;=Assumptions!$B$20,-(Assumptions!$B$7*$D$16)/Assumptions!$B$20,0))+(IF(19&lt;=Assumptions!$B$12,PPMT(Assumptions!$B$11,19,Assumptions!$B$12,((Assumptions!$B$7*$D$16)*(1-Assumptions!$B$8))),0))</f>
        <v>3.17047204804513</v>
      </c>
      <c r="V26" s="39" t="n">
        <f aca="false">(((((Assumptions!$B$5*8760*$B$16*(1-Assumptions!$B$16)^(20-1)/1000)*$C$16/10)+(-Assumptions!$B$17*(1+Assumptions!$B$18)^(20-1)))+IF(20&lt;=Assumptions!$B$20,-(Assumptions!$B$7*$D$16)/Assumptions!$B$20,0)+IF(20&lt;=Assumptions!$B$12,IPMT(Assumptions!$B$11,20,Assumptions!$B$12,((Assumptions!$B$7*$D$16)*(1-Assumptions!$B$8))),0))+(-MAX(0,((((Assumptions!$B$5*8760*$B$16*(1-Assumptions!$B$16)^(20-1)/1000)*$C$16/10)+(-Assumptions!$B$17*(1+Assumptions!$B$18)^(20-1)))+IF(20&lt;=Assumptions!$B$20,-(Assumptions!$B$7*$D$16)/Assumptions!$B$20,0)+IF(20&lt;=Assumptions!$B$12,IPMT(Assumptions!$B$11,20,Assumptions!$B$12,((Assumptions!$B$7*$D$16)*(1-Assumptions!$B$8))),0)))*Assumptions!$B$19))-(IF(20&lt;=Assumptions!$B$20,-(Assumptions!$B$7*$D$16)/Assumptions!$B$20,0))+(IF(20&lt;=Assumptions!$B$12,PPMT(Assumptions!$B$11,20,Assumptions!$B$12,((Assumptions!$B$7*$D$16)*(1-Assumptions!$B$8))),0))</f>
        <v>3.10685816611002</v>
      </c>
      <c r="W26" s="39" t="n">
        <f aca="false">(((((Assumptions!$B$5*8760*$B$16*(1-Assumptions!$B$16)^(21-1)/1000)*$C$16/10)+(-Assumptions!$B$17*(1+Assumptions!$B$18)^(21-1)))+IF(21&lt;=Assumptions!$B$20,-(Assumptions!$B$7*$D$16)/Assumptions!$B$20,0)+IF(21&lt;=Assumptions!$B$12,IPMT(Assumptions!$B$11,21,Assumptions!$B$12,((Assumptions!$B$7*$D$16)*(1-Assumptions!$B$8))),0))+(-MAX(0,((((Assumptions!$B$5*8760*$B$16*(1-Assumptions!$B$16)^(21-1)/1000)*$C$16/10)+(-Assumptions!$B$17*(1+Assumptions!$B$18)^(21-1)))+IF(21&lt;=Assumptions!$B$20,-(Assumptions!$B$7*$D$16)/Assumptions!$B$20,0)+IF(21&lt;=Assumptions!$B$12,IPMT(Assumptions!$B$11,21,Assumptions!$B$12,((Assumptions!$B$7*$D$16)*(1-Assumptions!$B$8))),0)))*Assumptions!$B$19))-(IF(21&lt;=Assumptions!$B$20,-(Assumptions!$B$7*$D$16)/Assumptions!$B$20,0))+(IF(21&lt;=Assumptions!$B$12,PPMT(Assumptions!$B$11,21,Assumptions!$B$12,((Assumptions!$B$7*$D$16)*(1-Assumptions!$B$8))),0))</f>
        <v>3.04108052749985</v>
      </c>
      <c r="X26" s="39" t="n">
        <f aca="false">(((((Assumptions!$B$5*8760*$B$16*(1-Assumptions!$B$16)^(22-1)/1000)*$C$16/10)+(-Assumptions!$B$17*(1+Assumptions!$B$18)^(22-1)))+IF(22&lt;=Assumptions!$B$20,-(Assumptions!$B$7*$D$16)/Assumptions!$B$20,0)+IF(22&lt;=Assumptions!$B$12,IPMT(Assumptions!$B$11,22,Assumptions!$B$12,((Assumptions!$B$7*$D$16)*(1-Assumptions!$B$8))),0))+(-MAX(0,((((Assumptions!$B$5*8760*$B$16*(1-Assumptions!$B$16)^(22-1)/1000)*$C$16/10)+(-Assumptions!$B$17*(1+Assumptions!$B$18)^(22-1)))+IF(22&lt;=Assumptions!$B$20,-(Assumptions!$B$7*$D$16)/Assumptions!$B$20,0)+IF(22&lt;=Assumptions!$B$12,IPMT(Assumptions!$B$11,22,Assumptions!$B$12,((Assumptions!$B$7*$D$16)*(1-Assumptions!$B$8))),0)))*Assumptions!$B$19))-(IF(22&lt;=Assumptions!$B$20,-(Assumptions!$B$7*$D$16)/Assumptions!$B$20,0))+(IF(22&lt;=Assumptions!$B$12,PPMT(Assumptions!$B$11,22,Assumptions!$B$12,((Assumptions!$B$7*$D$16)*(1-Assumptions!$B$8))),0))</f>
        <v>2.97302585969375</v>
      </c>
      <c r="Y26" s="39" t="n">
        <f aca="false">(((((Assumptions!$B$5*8760*$B$16*(1-Assumptions!$B$16)^(23-1)/1000)*$C$16/10)+(-Assumptions!$B$17*(1+Assumptions!$B$18)^(23-1)))+IF(23&lt;=Assumptions!$B$20,-(Assumptions!$B$7*$D$16)/Assumptions!$B$20,0)+IF(23&lt;=Assumptions!$B$12,IPMT(Assumptions!$B$11,23,Assumptions!$B$12,((Assumptions!$B$7*$D$16)*(1-Assumptions!$B$8))),0))+(-MAX(0,((((Assumptions!$B$5*8760*$B$16*(1-Assumptions!$B$16)^(23-1)/1000)*$C$16/10)+(-Assumptions!$B$17*(1+Assumptions!$B$18)^(23-1)))+IF(23&lt;=Assumptions!$B$20,-(Assumptions!$B$7*$D$16)/Assumptions!$B$20,0)+IF(23&lt;=Assumptions!$B$12,IPMT(Assumptions!$B$11,23,Assumptions!$B$12,((Assumptions!$B$7*$D$16)*(1-Assumptions!$B$8))),0)))*Assumptions!$B$19))-(IF(23&lt;=Assumptions!$B$20,-(Assumptions!$B$7*$D$16)/Assumptions!$B$20,0))+(IF(23&lt;=Assumptions!$B$12,PPMT(Assumptions!$B$11,23,Assumptions!$B$12,((Assumptions!$B$7*$D$16)*(1-Assumptions!$B$8))),0))</f>
        <v>2.90257525196825</v>
      </c>
      <c r="Z26" s="39" t="n">
        <f aca="false">(((((Assumptions!$B$5*8760*$B$16*(1-Assumptions!$B$16)^(24-1)/1000)*$C$16/10)+(-Assumptions!$B$17*(1+Assumptions!$B$18)^(24-1)))+IF(24&lt;=Assumptions!$B$20,-(Assumptions!$B$7*$D$16)/Assumptions!$B$20,0)+IF(24&lt;=Assumptions!$B$12,IPMT(Assumptions!$B$11,24,Assumptions!$B$12,((Assumptions!$B$7*$D$16)*(1-Assumptions!$B$8))),0))+(-MAX(0,((((Assumptions!$B$5*8760*$B$16*(1-Assumptions!$B$16)^(24-1)/1000)*$C$16/10)+(-Assumptions!$B$17*(1+Assumptions!$B$18)^(24-1)))+IF(24&lt;=Assumptions!$B$20,-(Assumptions!$B$7*$D$16)/Assumptions!$B$20,0)+IF(24&lt;=Assumptions!$B$12,IPMT(Assumptions!$B$11,24,Assumptions!$B$12,((Assumptions!$B$7*$D$16)*(1-Assumptions!$B$8))),0)))*Assumptions!$B$19))-(IF(24&lt;=Assumptions!$B$20,-(Assumptions!$B$7*$D$16)/Assumptions!$B$20,0))+(IF(24&lt;=Assumptions!$B$12,PPMT(Assumptions!$B$11,24,Assumptions!$B$12,((Assumptions!$B$7*$D$16)*(1-Assumptions!$B$8))),0))</f>
        <v>2.82960387336002</v>
      </c>
      <c r="AA26" s="39" t="n">
        <f aca="false">(((((Assumptions!$B$5*8760*$B$16*(1-Assumptions!$B$16)^(25-1)/1000)*$C$16/10)+(-Assumptions!$B$17*(1+Assumptions!$B$18)^(25-1)))+IF(25&lt;=Assumptions!$B$20,-(Assumptions!$B$7*$D$16)/Assumptions!$B$20,0)+IF(25&lt;=Assumptions!$B$12,IPMT(Assumptions!$B$11,25,Assumptions!$B$12,((Assumptions!$B$7*$D$16)*(1-Assumptions!$B$8))),0))+(-MAX(0,((((Assumptions!$B$5*8760*$B$16*(1-Assumptions!$B$16)^(25-1)/1000)*$C$16/10)+(-Assumptions!$B$17*(1+Assumptions!$B$18)^(25-1)))+IF(25&lt;=Assumptions!$B$20,-(Assumptions!$B$7*$D$16)/Assumptions!$B$20,0)+IF(25&lt;=Assumptions!$B$12,IPMT(Assumptions!$B$11,25,Assumptions!$B$12,((Assumptions!$B$7*$D$16)*(1-Assumptions!$B$8))),0)))*Assumptions!$B$19))-(IF(25&lt;=Assumptions!$B$20,-(Assumptions!$B$7*$D$16)/Assumptions!$B$20,0))+(IF(25&lt;=Assumptions!$B$12,PPMT(Assumptions!$B$11,25,Assumptions!$B$12,((Assumptions!$B$7*$D$16)*(1-Assumptions!$B$8))),0))</f>
        <v>2.75398067652741</v>
      </c>
    </row>
    <row r="27" customFormat="false" ht="15" hidden="false" customHeight="false" outlineLevel="0" collapsed="false">
      <c r="A27" s="37" t="s">
        <v>22</v>
      </c>
      <c r="B27" s="39" t="n">
        <f aca="false">-((Assumptions!$B$7*$D$17)*Assumptions!$B$8)</f>
        <v>-11.25</v>
      </c>
      <c r="C27" s="39" t="n">
        <f aca="false">(((((Assumptions!$B$5*8760*$B$17*(1-Assumptions!$B$16)^(1-1)/1000)*$C$17/10)+(-Assumptions!$B$17*(1+Assumptions!$B$18)^(1-1)))+IF(1&lt;=Assumptions!$B$20,-(Assumptions!$B$7*$D$17)/Assumptions!$B$20,0)+IF(1&lt;=Assumptions!$B$12,IPMT(Assumptions!$B$11,1,Assumptions!$B$12,((Assumptions!$B$7*$D$17)*(1-Assumptions!$B$8))),0))+(-MAX(0,((((Assumptions!$B$5*8760*$B$17*(1-Assumptions!$B$16)^(1-1)/1000)*$C$17/10)+(-Assumptions!$B$17*(1+Assumptions!$B$18)^(1-1)))+IF(1&lt;=Assumptions!$B$20,-(Assumptions!$B$7*$D$17)/Assumptions!$B$20,0)+IF(1&lt;=Assumptions!$B$12,IPMT(Assumptions!$B$11,1,Assumptions!$B$12,((Assumptions!$B$7*$D$17)*(1-Assumptions!$B$8))),0)))*Assumptions!$B$19))-(IF(1&lt;=Assumptions!$B$20,-(Assumptions!$B$7*$D$17)/Assumptions!$B$20,0))+(IF(1&lt;=Assumptions!$B$12,PPMT(Assumptions!$B$11,1,Assumptions!$B$12,((Assumptions!$B$7*$D$17)*(1-Assumptions!$B$8))),0))</f>
        <v>0.97648733042936</v>
      </c>
      <c r="D27" s="39" t="n">
        <f aca="false">(((((Assumptions!$B$5*8760*$B$17*(1-Assumptions!$B$16)^(2-1)/1000)*$C$17/10)+(-Assumptions!$B$17*(1+Assumptions!$B$18)^(2-1)))+IF(2&lt;=Assumptions!$B$20,-(Assumptions!$B$7*$D$17)/Assumptions!$B$20,0)+IF(2&lt;=Assumptions!$B$12,IPMT(Assumptions!$B$11,2,Assumptions!$B$12,((Assumptions!$B$7*$D$17)*(1-Assumptions!$B$8))),0))+(-MAX(0,((((Assumptions!$B$5*8760*$B$17*(1-Assumptions!$B$16)^(2-1)/1000)*$C$17/10)+(-Assumptions!$B$17*(1+Assumptions!$B$18)^(2-1)))+IF(2&lt;=Assumptions!$B$20,-(Assumptions!$B$7*$D$17)/Assumptions!$B$20,0)+IF(2&lt;=Assumptions!$B$12,IPMT(Assumptions!$B$11,2,Assumptions!$B$12,((Assumptions!$B$7*$D$17)*(1-Assumptions!$B$8))),0)))*Assumptions!$B$19))-(IF(2&lt;=Assumptions!$B$20,-(Assumptions!$B$7*$D$17)/Assumptions!$B$20,0))+(IF(2&lt;=Assumptions!$B$12,PPMT(Assumptions!$B$11,2,Assumptions!$B$12,((Assumptions!$B$7*$D$17)*(1-Assumptions!$B$8))),0))</f>
        <v>0.91940926286402</v>
      </c>
      <c r="E27" s="39" t="n">
        <f aca="false">(((((Assumptions!$B$5*8760*$B$17*(1-Assumptions!$B$16)^(3-1)/1000)*$C$17/10)+(-Assumptions!$B$17*(1+Assumptions!$B$18)^(3-1)))+IF(3&lt;=Assumptions!$B$20,-(Assumptions!$B$7*$D$17)/Assumptions!$B$20,0)+IF(3&lt;=Assumptions!$B$12,IPMT(Assumptions!$B$11,3,Assumptions!$B$12,((Assumptions!$B$7*$D$17)*(1-Assumptions!$B$8))),0))+(-MAX(0,((((Assumptions!$B$5*8760*$B$17*(1-Assumptions!$B$16)^(3-1)/1000)*$C$17/10)+(-Assumptions!$B$17*(1+Assumptions!$B$18)^(3-1)))+IF(3&lt;=Assumptions!$B$20,-(Assumptions!$B$7*$D$17)/Assumptions!$B$20,0)+IF(3&lt;=Assumptions!$B$12,IPMT(Assumptions!$B$11,3,Assumptions!$B$12,((Assumptions!$B$7*$D$17)*(1-Assumptions!$B$8))),0)))*Assumptions!$B$19))-(IF(3&lt;=Assumptions!$B$20,-(Assumptions!$B$7*$D$17)/Assumptions!$B$20,0))+(IF(3&lt;=Assumptions!$B$12,PPMT(Assumptions!$B$11,3,Assumptions!$B$12,((Assumptions!$B$7*$D$17)*(1-Assumptions!$B$8))),0))</f>
        <v>0.859674313017801</v>
      </c>
      <c r="F27" s="39" t="n">
        <f aca="false">(((((Assumptions!$B$5*8760*$B$17*(1-Assumptions!$B$16)^(4-1)/1000)*$C$17/10)+(-Assumptions!$B$17*(1+Assumptions!$B$18)^(4-1)))+IF(4&lt;=Assumptions!$B$20,-(Assumptions!$B$7*$D$17)/Assumptions!$B$20,0)+IF(4&lt;=Assumptions!$B$12,IPMT(Assumptions!$B$11,4,Assumptions!$B$12,((Assumptions!$B$7*$D$17)*(1-Assumptions!$B$8))),0))+(-MAX(0,((((Assumptions!$B$5*8760*$B$17*(1-Assumptions!$B$16)^(4-1)/1000)*$C$17/10)+(-Assumptions!$B$17*(1+Assumptions!$B$18)^(4-1)))+IF(4&lt;=Assumptions!$B$20,-(Assumptions!$B$7*$D$17)/Assumptions!$B$20,0)+IF(4&lt;=Assumptions!$B$12,IPMT(Assumptions!$B$11,4,Assumptions!$B$12,((Assumptions!$B$7*$D$17)*(1-Assumptions!$B$8))),0)))*Assumptions!$B$19))-(IF(4&lt;=Assumptions!$B$20,-(Assumptions!$B$7*$D$17)/Assumptions!$B$20,0))+(IF(4&lt;=Assumptions!$B$12,PPMT(Assumptions!$B$11,4,Assumptions!$B$12,((Assumptions!$B$7*$D$17)*(1-Assumptions!$B$8))),0))</f>
        <v>0.797072210766422</v>
      </c>
      <c r="G27" s="39" t="n">
        <f aca="false">(((((Assumptions!$B$5*8760*$B$17*(1-Assumptions!$B$16)^(5-1)/1000)*$C$17/10)+(-Assumptions!$B$17*(1+Assumptions!$B$18)^(5-1)))+IF(5&lt;=Assumptions!$B$20,-(Assumptions!$B$7*$D$17)/Assumptions!$B$20,0)+IF(5&lt;=Assumptions!$B$12,IPMT(Assumptions!$B$11,5,Assumptions!$B$12,((Assumptions!$B$7*$D$17)*(1-Assumptions!$B$8))),0))+(-MAX(0,((((Assumptions!$B$5*8760*$B$17*(1-Assumptions!$B$16)^(5-1)/1000)*$C$17/10)+(-Assumptions!$B$17*(1+Assumptions!$B$18)^(5-1)))+IF(5&lt;=Assumptions!$B$20,-(Assumptions!$B$7*$D$17)/Assumptions!$B$20,0)+IF(5&lt;=Assumptions!$B$12,IPMT(Assumptions!$B$11,5,Assumptions!$B$12,((Assumptions!$B$7*$D$17)*(1-Assumptions!$B$8))),0)))*Assumptions!$B$19))-(IF(5&lt;=Assumptions!$B$20,-(Assumptions!$B$7*$D$17)/Assumptions!$B$20,0))+(IF(5&lt;=Assumptions!$B$12,PPMT(Assumptions!$B$11,5,Assumptions!$B$12,((Assumptions!$B$7*$D$17)*(1-Assumptions!$B$8))),0))</f>
        <v>0.731375679928012</v>
      </c>
      <c r="H27" s="39" t="n">
        <f aca="false">(((((Assumptions!$B$5*8760*$B$17*(1-Assumptions!$B$16)^(6-1)/1000)*$C$17/10)+(-Assumptions!$B$17*(1+Assumptions!$B$18)^(6-1)))+IF(6&lt;=Assumptions!$B$20,-(Assumptions!$B$7*$D$17)/Assumptions!$B$20,0)+IF(6&lt;=Assumptions!$B$12,IPMT(Assumptions!$B$11,6,Assumptions!$B$12,((Assumptions!$B$7*$D$17)*(1-Assumptions!$B$8))),0))+(-MAX(0,((((Assumptions!$B$5*8760*$B$17*(1-Assumptions!$B$16)^(6-1)/1000)*$C$17/10)+(-Assumptions!$B$17*(1+Assumptions!$B$18)^(6-1)))+IF(6&lt;=Assumptions!$B$20,-(Assumptions!$B$7*$D$17)/Assumptions!$B$20,0)+IF(6&lt;=Assumptions!$B$12,IPMT(Assumptions!$B$11,6,Assumptions!$B$12,((Assumptions!$B$7*$D$17)*(1-Assumptions!$B$8))),0)))*Assumptions!$B$19))-(IF(6&lt;=Assumptions!$B$20,-(Assumptions!$B$7*$D$17)/Assumptions!$B$20,0))+(IF(6&lt;=Assumptions!$B$12,PPMT(Assumptions!$B$11,6,Assumptions!$B$12,((Assumptions!$B$7*$D$17)*(1-Assumptions!$B$8))),0))</f>
        <v>0.662339001251664</v>
      </c>
      <c r="I27" s="39" t="n">
        <f aca="false">(((((Assumptions!$B$5*8760*$B$17*(1-Assumptions!$B$16)^(7-1)/1000)*$C$17/10)+(-Assumptions!$B$17*(1+Assumptions!$B$18)^(7-1)))+IF(7&lt;=Assumptions!$B$20,-(Assumptions!$B$7*$D$17)/Assumptions!$B$20,0)+IF(7&lt;=Assumptions!$B$12,IPMT(Assumptions!$B$11,7,Assumptions!$B$12,((Assumptions!$B$7*$D$17)*(1-Assumptions!$B$8))),0))+(-MAX(0,((((Assumptions!$B$5*8760*$B$17*(1-Assumptions!$B$16)^(7-1)/1000)*$C$17/10)+(-Assumptions!$B$17*(1+Assumptions!$B$18)^(7-1)))+IF(7&lt;=Assumptions!$B$20,-(Assumptions!$B$7*$D$17)/Assumptions!$B$20,0)+IF(7&lt;=Assumptions!$B$12,IPMT(Assumptions!$B$11,7,Assumptions!$B$12,((Assumptions!$B$7*$D$17)*(1-Assumptions!$B$8))),0)))*Assumptions!$B$19))-(IF(7&lt;=Assumptions!$B$20,-(Assumptions!$B$7*$D$17)/Assumptions!$B$20,0))+(IF(7&lt;=Assumptions!$B$12,PPMT(Assumptions!$B$11,7,Assumptions!$B$12,((Assumptions!$B$7*$D$17)*(1-Assumptions!$B$8))),0))</f>
        <v>0.589696450763523</v>
      </c>
      <c r="J27" s="39" t="n">
        <f aca="false">(((((Assumptions!$B$5*8760*$B$17*(1-Assumptions!$B$16)^(8-1)/1000)*$C$17/10)+(-Assumptions!$B$17*(1+Assumptions!$B$18)^(8-1)))+IF(8&lt;=Assumptions!$B$20,-(Assumptions!$B$7*$D$17)/Assumptions!$B$20,0)+IF(8&lt;=Assumptions!$B$12,IPMT(Assumptions!$B$11,8,Assumptions!$B$12,((Assumptions!$B$7*$D$17)*(1-Assumptions!$B$8))),0))+(-MAX(0,((((Assumptions!$B$5*8760*$B$17*(1-Assumptions!$B$16)^(8-1)/1000)*$C$17/10)+(-Assumptions!$B$17*(1+Assumptions!$B$18)^(8-1)))+IF(8&lt;=Assumptions!$B$20,-(Assumptions!$B$7*$D$17)/Assumptions!$B$20,0)+IF(8&lt;=Assumptions!$B$12,IPMT(Assumptions!$B$11,8,Assumptions!$B$12,((Assumptions!$B$7*$D$17)*(1-Assumptions!$B$8))),0)))*Assumptions!$B$19))-(IF(8&lt;=Assumptions!$B$20,-(Assumptions!$B$7*$D$17)/Assumptions!$B$20,0))+(IF(8&lt;=Assumptions!$B$12,PPMT(Assumptions!$B$11,8,Assumptions!$B$12,((Assumptions!$B$7*$D$17)*(1-Assumptions!$B$8))),0))</f>
        <v>0.513160602486996</v>
      </c>
      <c r="K27" s="39" t="n">
        <f aca="false">(((((Assumptions!$B$5*8760*$B$17*(1-Assumptions!$B$16)^(9-1)/1000)*$C$17/10)+(-Assumptions!$B$17*(1+Assumptions!$B$18)^(9-1)))+IF(9&lt;=Assumptions!$B$20,-(Assumptions!$B$7*$D$17)/Assumptions!$B$20,0)+IF(9&lt;=Assumptions!$B$12,IPMT(Assumptions!$B$11,9,Assumptions!$B$12,((Assumptions!$B$7*$D$17)*(1-Assumptions!$B$8))),0))+(-MAX(0,((((Assumptions!$B$5*8760*$B$17*(1-Assumptions!$B$16)^(9-1)/1000)*$C$17/10)+(-Assumptions!$B$17*(1+Assumptions!$B$18)^(9-1)))+IF(9&lt;=Assumptions!$B$20,-(Assumptions!$B$7*$D$17)/Assumptions!$B$20,0)+IF(9&lt;=Assumptions!$B$12,IPMT(Assumptions!$B$11,9,Assumptions!$B$12,((Assumptions!$B$7*$D$17)*(1-Assumptions!$B$8))),0)))*Assumptions!$B$19))-(IF(9&lt;=Assumptions!$B$20,-(Assumptions!$B$7*$D$17)/Assumptions!$B$20,0))+(IF(9&lt;=Assumptions!$B$12,PPMT(Assumptions!$B$11,9,Assumptions!$B$12,((Assumptions!$B$7*$D$17)*(1-Assumptions!$B$8))),0))</f>
        <v>0.432420483576803</v>
      </c>
      <c r="L27" s="39" t="n">
        <f aca="false">(((((Assumptions!$B$5*8760*$B$17*(1-Assumptions!$B$16)^(10-1)/1000)*$C$17/10)+(-Assumptions!$B$17*(1+Assumptions!$B$18)^(10-1)))+IF(10&lt;=Assumptions!$B$20,-(Assumptions!$B$7*$D$17)/Assumptions!$B$20,0)+IF(10&lt;=Assumptions!$B$12,IPMT(Assumptions!$B$11,10,Assumptions!$B$12,((Assumptions!$B$7*$D$17)*(1-Assumptions!$B$8))),0))+(-MAX(0,((((Assumptions!$B$5*8760*$B$17*(1-Assumptions!$B$16)^(10-1)/1000)*$C$17/10)+(-Assumptions!$B$17*(1+Assumptions!$B$18)^(10-1)))+IF(10&lt;=Assumptions!$B$20,-(Assumptions!$B$7*$D$17)/Assumptions!$B$20,0)+IF(10&lt;=Assumptions!$B$12,IPMT(Assumptions!$B$11,10,Assumptions!$B$12,((Assumptions!$B$7*$D$17)*(1-Assumptions!$B$8))),0)))*Assumptions!$B$19))-(IF(10&lt;=Assumptions!$B$20,-(Assumptions!$B$7*$D$17)/Assumptions!$B$20,0))+(IF(10&lt;=Assumptions!$B$12,PPMT(Assumptions!$B$11,10,Assumptions!$B$12,((Assumptions!$B$7*$D$17)*(1-Assumptions!$B$8))),0))</f>
        <v>0.347139568842535</v>
      </c>
      <c r="M27" s="39" t="n">
        <f aca="false">(((((Assumptions!$B$5*8760*$B$17*(1-Assumptions!$B$16)^(11-1)/1000)*$C$17/10)+(-Assumptions!$B$17*(1+Assumptions!$B$18)^(11-1)))+IF(11&lt;=Assumptions!$B$20,-(Assumptions!$B$7*$D$17)/Assumptions!$B$20,0)+IF(11&lt;=Assumptions!$B$12,IPMT(Assumptions!$B$11,11,Assumptions!$B$12,((Assumptions!$B$7*$D$17)*(1-Assumptions!$B$8))),0))+(-MAX(0,((((Assumptions!$B$5*8760*$B$17*(1-Assumptions!$B$16)^(11-1)/1000)*$C$17/10)+(-Assumptions!$B$17*(1+Assumptions!$B$18)^(11-1)))+IF(11&lt;=Assumptions!$B$20,-(Assumptions!$B$7*$D$17)/Assumptions!$B$20,0)+IF(11&lt;=Assumptions!$B$12,IPMT(Assumptions!$B$11,11,Assumptions!$B$12,((Assumptions!$B$7*$D$17)*(1-Assumptions!$B$8))),0)))*Assumptions!$B$19))-(IF(11&lt;=Assumptions!$B$20,-(Assumptions!$B$7*$D$17)/Assumptions!$B$20,0))+(IF(11&lt;=Assumptions!$B$12,PPMT(Assumptions!$B$11,11,Assumptions!$B$12,((Assumptions!$B$7*$D$17)*(1-Assumptions!$B$8))),0))</f>
        <v>0.256953600478071</v>
      </c>
      <c r="N27" s="39" t="n">
        <f aca="false">(((((Assumptions!$B$5*8760*$B$17*(1-Assumptions!$B$16)^(12-1)/1000)*$C$17/10)+(-Assumptions!$B$17*(1+Assumptions!$B$18)^(12-1)))+IF(12&lt;=Assumptions!$B$20,-(Assumptions!$B$7*$D$17)/Assumptions!$B$20,0)+IF(12&lt;=Assumptions!$B$12,IPMT(Assumptions!$B$11,12,Assumptions!$B$12,((Assumptions!$B$7*$D$17)*(1-Assumptions!$B$8))),0))+(-MAX(0,((((Assumptions!$B$5*8760*$B$17*(1-Assumptions!$B$16)^(12-1)/1000)*$C$17/10)+(-Assumptions!$B$17*(1+Assumptions!$B$18)^(12-1)))+IF(12&lt;=Assumptions!$B$20,-(Assumptions!$B$7*$D$17)/Assumptions!$B$20,0)+IF(12&lt;=Assumptions!$B$12,IPMT(Assumptions!$B$11,12,Assumptions!$B$12,((Assumptions!$B$7*$D$17)*(1-Assumptions!$B$8))),0)))*Assumptions!$B$19))-(IF(12&lt;=Assumptions!$B$20,-(Assumptions!$B$7*$D$17)/Assumptions!$B$20,0))+(IF(12&lt;=Assumptions!$B$12,PPMT(Assumptions!$B$11,12,Assumptions!$B$12,((Assumptions!$B$7*$D$17)*(1-Assumptions!$B$8))),0))</f>
        <v>0.161468217550267</v>
      </c>
      <c r="O27" s="39" t="n">
        <f aca="false">(((((Assumptions!$B$5*8760*$B$17*(1-Assumptions!$B$16)^(13-1)/1000)*$C$17/10)+(-Assumptions!$B$17*(1+Assumptions!$B$18)^(13-1)))+IF(13&lt;=Assumptions!$B$20,-(Assumptions!$B$7*$D$17)/Assumptions!$B$20,0)+IF(13&lt;=Assumptions!$B$12,IPMT(Assumptions!$B$11,13,Assumptions!$B$12,((Assumptions!$B$7*$D$17)*(1-Assumptions!$B$8))),0))+(-MAX(0,((((Assumptions!$B$5*8760*$B$17*(1-Assumptions!$B$16)^(13-1)/1000)*$C$17/10)+(-Assumptions!$B$17*(1+Assumptions!$B$18)^(13-1)))+IF(13&lt;=Assumptions!$B$20,-(Assumptions!$B$7*$D$17)/Assumptions!$B$20,0)+IF(13&lt;=Assumptions!$B$12,IPMT(Assumptions!$B$11,13,Assumptions!$B$12,((Assumptions!$B$7*$D$17)*(1-Assumptions!$B$8))),0)))*Assumptions!$B$19))-(IF(13&lt;=Assumptions!$B$20,-(Assumptions!$B$7*$D$17)/Assumptions!$B$20,0))+(IF(13&lt;=Assumptions!$B$12,PPMT(Assumptions!$B$11,13,Assumptions!$B$12,((Assumptions!$B$7*$D$17)*(1-Assumptions!$B$8))),0))</f>
        <v>0.0602563784243877</v>
      </c>
      <c r="P27" s="39" t="n">
        <f aca="false">(((((Assumptions!$B$5*8760*$B$17*(1-Assumptions!$B$16)^(14-1)/1000)*$C$17/10)+(-Assumptions!$B$17*(1+Assumptions!$B$18)^(14-1)))+IF(14&lt;=Assumptions!$B$20,-(Assumptions!$B$7*$D$17)/Assumptions!$B$20,0)+IF(14&lt;=Assumptions!$B$12,IPMT(Assumptions!$B$11,14,Assumptions!$B$12,((Assumptions!$B$7*$D$17)*(1-Assumptions!$B$8))),0))+(-MAX(0,((((Assumptions!$B$5*8760*$B$17*(1-Assumptions!$B$16)^(14-1)/1000)*$C$17/10)+(-Assumptions!$B$17*(1+Assumptions!$B$18)^(14-1)))+IF(14&lt;=Assumptions!$B$20,-(Assumptions!$B$7*$D$17)/Assumptions!$B$20,0)+IF(14&lt;=Assumptions!$B$12,IPMT(Assumptions!$B$11,14,Assumptions!$B$12,((Assumptions!$B$7*$D$17)*(1-Assumptions!$B$8))),0)))*Assumptions!$B$19))-(IF(14&lt;=Assumptions!$B$20,-(Assumptions!$B$7*$D$17)/Assumptions!$B$20,0))+(IF(14&lt;=Assumptions!$B$12,PPMT(Assumptions!$B$11,14,Assumptions!$B$12,((Assumptions!$B$7*$D$17)*(1-Assumptions!$B$8))),0))</f>
        <v>-0.0471444421953682</v>
      </c>
      <c r="Q27" s="39" t="n">
        <f aca="false">(((((Assumptions!$B$5*8760*$B$17*(1-Assumptions!$B$16)^(15-1)/1000)*$C$17/10)+(-Assumptions!$B$17*(1+Assumptions!$B$18)^(15-1)))+IF(15&lt;=Assumptions!$B$20,-(Assumptions!$B$7*$D$17)/Assumptions!$B$20,0)+IF(15&lt;=Assumptions!$B$12,IPMT(Assumptions!$B$11,15,Assumptions!$B$12,((Assumptions!$B$7*$D$17)*(1-Assumptions!$B$8))),0))+(-MAX(0,((((Assumptions!$B$5*8760*$B$17*(1-Assumptions!$B$16)^(15-1)/1000)*$C$17/10)+(-Assumptions!$B$17*(1+Assumptions!$B$18)^(15-1)))+IF(15&lt;=Assumptions!$B$20,-(Assumptions!$B$7*$D$17)/Assumptions!$B$20,0)+IF(15&lt;=Assumptions!$B$12,IPMT(Assumptions!$B$11,15,Assumptions!$B$12,((Assumptions!$B$7*$D$17)*(1-Assumptions!$B$8))),0)))*Assumptions!$B$19))-(IF(15&lt;=Assumptions!$B$20,-(Assumptions!$B$7*$D$17)/Assumptions!$B$20,0))+(IF(15&lt;=Assumptions!$B$12,PPMT(Assumptions!$B$11,15,Assumptions!$B$12,((Assumptions!$B$7*$D$17)*(1-Assumptions!$B$8))),0))</f>
        <v>-0.161235301565065</v>
      </c>
      <c r="R27" s="39" t="n">
        <f aca="false">(((((Assumptions!$B$5*8760*$B$17*(1-Assumptions!$B$16)^(16-1)/1000)*$C$17/10)+(-Assumptions!$B$17*(1+Assumptions!$B$18)^(16-1)))+IF(16&lt;=Assumptions!$B$20,-(Assumptions!$B$7*$D$17)/Assumptions!$B$20,0)+IF(16&lt;=Assumptions!$B$12,IPMT(Assumptions!$B$11,16,Assumptions!$B$12,((Assumptions!$B$7*$D$17)*(1-Assumptions!$B$8))),0))+(-MAX(0,((((Assumptions!$B$5*8760*$B$17*(1-Assumptions!$B$16)^(16-1)/1000)*$C$17/10)+(-Assumptions!$B$17*(1+Assumptions!$B$18)^(16-1)))+IF(16&lt;=Assumptions!$B$20,-(Assumptions!$B$7*$D$17)/Assumptions!$B$20,0)+IF(16&lt;=Assumptions!$B$12,IPMT(Assumptions!$B$11,16,Assumptions!$B$12,((Assumptions!$B$7*$D$17)*(1-Assumptions!$B$8))),0)))*Assumptions!$B$19))-(IF(16&lt;=Assumptions!$B$20,-(Assumptions!$B$7*$D$17)/Assumptions!$B$20,0))+(IF(16&lt;=Assumptions!$B$12,PPMT(Assumptions!$B$11,16,Assumptions!$B$12,((Assumptions!$B$7*$D$17)*(1-Assumptions!$B$8))),0))</f>
        <v>2.97398656529636</v>
      </c>
      <c r="S27" s="39" t="n">
        <f aca="false">(((((Assumptions!$B$5*8760*$B$17*(1-Assumptions!$B$16)^(17-1)/1000)*$C$17/10)+(-Assumptions!$B$17*(1+Assumptions!$B$18)^(17-1)))+IF(17&lt;=Assumptions!$B$20,-(Assumptions!$B$7*$D$17)/Assumptions!$B$20,0)+IF(17&lt;=Assumptions!$B$12,IPMT(Assumptions!$B$11,17,Assumptions!$B$12,((Assumptions!$B$7*$D$17)*(1-Assumptions!$B$8))),0))+(-MAX(0,((((Assumptions!$B$5*8760*$B$17*(1-Assumptions!$B$16)^(17-1)/1000)*$C$17/10)+(-Assumptions!$B$17*(1+Assumptions!$B$18)^(17-1)))+IF(17&lt;=Assumptions!$B$20,-(Assumptions!$B$7*$D$17)/Assumptions!$B$20,0)+IF(17&lt;=Assumptions!$B$12,IPMT(Assumptions!$B$11,17,Assumptions!$B$12,((Assumptions!$B$7*$D$17)*(1-Assumptions!$B$8))),0)))*Assumptions!$B$19))-(IF(17&lt;=Assumptions!$B$20,-(Assumptions!$B$7*$D$17)/Assumptions!$B$20,0))+(IF(17&lt;=Assumptions!$B$12,PPMT(Assumptions!$B$11,17,Assumptions!$B$12,((Assumptions!$B$7*$D$17)*(1-Assumptions!$B$8))),0))</f>
        <v>2.91811373876952</v>
      </c>
      <c r="T27" s="39" t="n">
        <f aca="false">(((((Assumptions!$B$5*8760*$B$17*(1-Assumptions!$B$16)^(18-1)/1000)*$C$17/10)+(-Assumptions!$B$17*(1+Assumptions!$B$18)^(18-1)))+IF(18&lt;=Assumptions!$B$20,-(Assumptions!$B$7*$D$17)/Assumptions!$B$20,0)+IF(18&lt;=Assumptions!$B$12,IPMT(Assumptions!$B$11,18,Assumptions!$B$12,((Assumptions!$B$7*$D$17)*(1-Assumptions!$B$8))),0))+(-MAX(0,((((Assumptions!$B$5*8760*$B$17*(1-Assumptions!$B$16)^(18-1)/1000)*$C$17/10)+(-Assumptions!$B$17*(1+Assumptions!$B$18)^(18-1)))+IF(18&lt;=Assumptions!$B$20,-(Assumptions!$B$7*$D$17)/Assumptions!$B$20,0)+IF(18&lt;=Assumptions!$B$12,IPMT(Assumptions!$B$11,18,Assumptions!$B$12,((Assumptions!$B$7*$D$17)*(1-Assumptions!$B$8))),0)))*Assumptions!$B$19))-(IF(18&lt;=Assumptions!$B$20,-(Assumptions!$B$7*$D$17)/Assumptions!$B$20,0))+(IF(18&lt;=Assumptions!$B$12,PPMT(Assumptions!$B$11,18,Assumptions!$B$12,((Assumptions!$B$7*$D$17)*(1-Assumptions!$B$8))),0))</f>
        <v>2.8603763816903</v>
      </c>
      <c r="U27" s="39" t="n">
        <f aca="false">(((((Assumptions!$B$5*8760*$B$17*(1-Assumptions!$B$16)^(19-1)/1000)*$C$17/10)+(-Assumptions!$B$17*(1+Assumptions!$B$18)^(19-1)))+IF(19&lt;=Assumptions!$B$20,-(Assumptions!$B$7*$D$17)/Assumptions!$B$20,0)+IF(19&lt;=Assumptions!$B$12,IPMT(Assumptions!$B$11,19,Assumptions!$B$12,((Assumptions!$B$7*$D$17)*(1-Assumptions!$B$8))),0))+(-MAX(0,((((Assumptions!$B$5*8760*$B$17*(1-Assumptions!$B$16)^(19-1)/1000)*$C$17/10)+(-Assumptions!$B$17*(1+Assumptions!$B$18)^(19-1)))+IF(19&lt;=Assumptions!$B$20,-(Assumptions!$B$7*$D$17)/Assumptions!$B$20,0)+IF(19&lt;=Assumptions!$B$12,IPMT(Assumptions!$B$11,19,Assumptions!$B$12,((Assumptions!$B$7*$D$17)*(1-Assumptions!$B$8))),0)))*Assumptions!$B$19))-(IF(19&lt;=Assumptions!$B$20,-(Assumptions!$B$7*$D$17)/Assumptions!$B$20,0))+(IF(19&lt;=Assumptions!$B$12,PPMT(Assumptions!$B$11,19,Assumptions!$B$12,((Assumptions!$B$7*$D$17)*(1-Assumptions!$B$8))),0))</f>
        <v>2.8006766219772</v>
      </c>
      <c r="V27" s="39" t="n">
        <f aca="false">(((((Assumptions!$B$5*8760*$B$17*(1-Assumptions!$B$16)^(20-1)/1000)*$C$17/10)+(-Assumptions!$B$17*(1+Assumptions!$B$18)^(20-1)))+IF(20&lt;=Assumptions!$B$20,-(Assumptions!$B$7*$D$17)/Assumptions!$B$20,0)+IF(20&lt;=Assumptions!$B$12,IPMT(Assumptions!$B$11,20,Assumptions!$B$12,((Assumptions!$B$7*$D$17)*(1-Assumptions!$B$8))),0))+(-MAX(0,((((Assumptions!$B$5*8760*$B$17*(1-Assumptions!$B$16)^(20-1)/1000)*$C$17/10)+(-Assumptions!$B$17*(1+Assumptions!$B$18)^(20-1)))+IF(20&lt;=Assumptions!$B$20,-(Assumptions!$B$7*$D$17)/Assumptions!$B$20,0)+IF(20&lt;=Assumptions!$B$12,IPMT(Assumptions!$B$11,20,Assumptions!$B$12,((Assumptions!$B$7*$D$17)*(1-Assumptions!$B$8))),0)))*Assumptions!$B$19))-(IF(20&lt;=Assumptions!$B$20,-(Assumptions!$B$7*$D$17)/Assumptions!$B$20,0))+(IF(20&lt;=Assumptions!$B$12,PPMT(Assumptions!$B$11,20,Assumptions!$B$12,((Assumptions!$B$7*$D$17)*(1-Assumptions!$B$8))),0))</f>
        <v>2.73891171717244</v>
      </c>
      <c r="W27" s="39" t="n">
        <f aca="false">(((((Assumptions!$B$5*8760*$B$17*(1-Assumptions!$B$16)^(21-1)/1000)*$C$17/10)+(-Assumptions!$B$17*(1+Assumptions!$B$18)^(21-1)))+IF(21&lt;=Assumptions!$B$20,-(Assumptions!$B$7*$D$17)/Assumptions!$B$20,0)+IF(21&lt;=Assumptions!$B$12,IPMT(Assumptions!$B$11,21,Assumptions!$B$12,((Assumptions!$B$7*$D$17)*(1-Assumptions!$B$8))),0))+(-MAX(0,((((Assumptions!$B$5*8760*$B$17*(1-Assumptions!$B$16)^(21-1)/1000)*$C$17/10)+(-Assumptions!$B$17*(1+Assumptions!$B$18)^(21-1)))+IF(21&lt;=Assumptions!$B$20,-(Assumptions!$B$7*$D$17)/Assumptions!$B$20,0)+IF(21&lt;=Assumptions!$B$12,IPMT(Assumptions!$B$11,21,Assumptions!$B$12,((Assumptions!$B$7*$D$17)*(1-Assumptions!$B$8))),0)))*Assumptions!$B$19))-(IF(21&lt;=Assumptions!$B$20,-(Assumptions!$B$7*$D$17)/Assumptions!$B$20,0))+(IF(21&lt;=Assumptions!$B$12,PPMT(Assumptions!$B$11,21,Assumptions!$B$12,((Assumptions!$B$7*$D$17)*(1-Assumptions!$B$8))),0))</f>
        <v>2.67497381080695</v>
      </c>
      <c r="X27" s="39" t="n">
        <f aca="false">(((((Assumptions!$B$5*8760*$B$17*(1-Assumptions!$B$16)^(22-1)/1000)*$C$17/10)+(-Assumptions!$B$17*(1+Assumptions!$B$18)^(22-1)))+IF(22&lt;=Assumptions!$B$20,-(Assumptions!$B$7*$D$17)/Assumptions!$B$20,0)+IF(22&lt;=Assumptions!$B$12,IPMT(Assumptions!$B$11,22,Assumptions!$B$12,((Assumptions!$B$7*$D$17)*(1-Assumptions!$B$8))),0))+(-MAX(0,((((Assumptions!$B$5*8760*$B$17*(1-Assumptions!$B$16)^(22-1)/1000)*$C$17/10)+(-Assumptions!$B$17*(1+Assumptions!$B$18)^(22-1)))+IF(22&lt;=Assumptions!$B$20,-(Assumptions!$B$7*$D$17)/Assumptions!$B$20,0)+IF(22&lt;=Assumptions!$B$12,IPMT(Assumptions!$B$11,22,Assumptions!$B$12,((Assumptions!$B$7*$D$17)*(1-Assumptions!$B$8))),0)))*Assumptions!$B$19))-(IF(22&lt;=Assumptions!$B$20,-(Assumptions!$B$7*$D$17)/Assumptions!$B$20,0))+(IF(22&lt;=Assumptions!$B$12,PPMT(Assumptions!$B$11,22,Assumptions!$B$12,((Assumptions!$B$7*$D$17)*(1-Assumptions!$B$8))),0))</f>
        <v>2.60874967658431</v>
      </c>
      <c r="Y27" s="39" t="n">
        <f aca="false">(((((Assumptions!$B$5*8760*$B$17*(1-Assumptions!$B$16)^(23-1)/1000)*$C$17/10)+(-Assumptions!$B$17*(1+Assumptions!$B$18)^(23-1)))+IF(23&lt;=Assumptions!$B$20,-(Assumptions!$B$7*$D$17)/Assumptions!$B$20,0)+IF(23&lt;=Assumptions!$B$12,IPMT(Assumptions!$B$11,23,Assumptions!$B$12,((Assumptions!$B$7*$D$17)*(1-Assumptions!$B$8))),0))+(-MAX(0,((((Assumptions!$B$5*8760*$B$17*(1-Assumptions!$B$16)^(23-1)/1000)*$C$17/10)+(-Assumptions!$B$17*(1+Assumptions!$B$18)^(23-1)))+IF(23&lt;=Assumptions!$B$20,-(Assumptions!$B$7*$D$17)/Assumptions!$B$20,0)+IF(23&lt;=Assumptions!$B$12,IPMT(Assumptions!$B$11,23,Assumptions!$B$12,((Assumptions!$B$7*$D$17)*(1-Assumptions!$B$8))),0)))*Assumptions!$B$19))-(IF(23&lt;=Assumptions!$B$20,-(Assumptions!$B$7*$D$17)/Assumptions!$B$20,0))+(IF(23&lt;=Assumptions!$B$12,PPMT(Assumptions!$B$11,23,Assumptions!$B$12,((Assumptions!$B$7*$D$17)*(1-Assumptions!$B$8))),0))</f>
        <v>2.54012044977436</v>
      </c>
      <c r="Z27" s="39" t="n">
        <f aca="false">(((((Assumptions!$B$5*8760*$B$17*(1-Assumptions!$B$16)^(24-1)/1000)*$C$17/10)+(-Assumptions!$B$17*(1+Assumptions!$B$18)^(24-1)))+IF(24&lt;=Assumptions!$B$20,-(Assumptions!$B$7*$D$17)/Assumptions!$B$20,0)+IF(24&lt;=Assumptions!$B$12,IPMT(Assumptions!$B$11,24,Assumptions!$B$12,((Assumptions!$B$7*$D$17)*(1-Assumptions!$B$8))),0))+(-MAX(0,((((Assumptions!$B$5*8760*$B$17*(1-Assumptions!$B$16)^(24-1)/1000)*$C$17/10)+(-Assumptions!$B$17*(1+Assumptions!$B$18)^(24-1)))+IF(24&lt;=Assumptions!$B$20,-(Assumptions!$B$7*$D$17)/Assumptions!$B$20,0)+IF(24&lt;=Assumptions!$B$12,IPMT(Assumptions!$B$11,24,Assumptions!$B$12,((Assumptions!$B$7*$D$17)*(1-Assumptions!$B$8))),0)))*Assumptions!$B$19))-(IF(24&lt;=Assumptions!$B$20,-(Assumptions!$B$7*$D$17)/Assumptions!$B$20,0))+(IF(24&lt;=Assumptions!$B$12,PPMT(Assumptions!$B$11,24,Assumptions!$B$12,((Assumptions!$B$7*$D$17)*(1-Assumptions!$B$8))),0))</f>
        <v>2.4689613451771</v>
      </c>
      <c r="AA27" s="39" t="n">
        <f aca="false">(((((Assumptions!$B$5*8760*$B$17*(1-Assumptions!$B$16)^(25-1)/1000)*$C$17/10)+(-Assumptions!$B$17*(1+Assumptions!$B$18)^(25-1)))+IF(25&lt;=Assumptions!$B$20,-(Assumptions!$B$7*$D$17)/Assumptions!$B$20,0)+IF(25&lt;=Assumptions!$B$12,IPMT(Assumptions!$B$11,25,Assumptions!$B$12,((Assumptions!$B$7*$D$17)*(1-Assumptions!$B$8))),0))+(-MAX(0,((((Assumptions!$B$5*8760*$B$17*(1-Assumptions!$B$16)^(25-1)/1000)*$C$17/10)+(-Assumptions!$B$17*(1+Assumptions!$B$18)^(25-1)))+IF(25&lt;=Assumptions!$B$20,-(Assumptions!$B$7*$D$17)/Assumptions!$B$20,0)+IF(25&lt;=Assumptions!$B$12,IPMT(Assumptions!$B$11,25,Assumptions!$B$12,((Assumptions!$B$7*$D$17)*(1-Assumptions!$B$8))),0)))*Assumptions!$B$19))-(IF(25&lt;=Assumptions!$B$20,-(Assumptions!$B$7*$D$17)/Assumptions!$B$20,0))+(IF(25&lt;=Assumptions!$B$12,PPMT(Assumptions!$B$11,25,Assumptions!$B$12,((Assumptions!$B$7*$D$17)*(1-Assumptions!$B$8))),0))</f>
        <v>2.39514136098541</v>
      </c>
    </row>
    <row r="28" customFormat="false" ht="15" hidden="false" customHeight="false" outlineLevel="0" collapsed="false">
      <c r="A28" s="37" t="s">
        <v>24</v>
      </c>
      <c r="B28" s="39" t="n">
        <f aca="false">-((Assumptions!$B$7*$D$18)*Assumptions!$B$8)</f>
        <v>-11.25</v>
      </c>
      <c r="C28" s="39" t="n">
        <f aca="false">(((((Assumptions!$B$5*8760*$B$18*(1-Assumptions!$B$16)^(1-1)/1000)*$C$18/10)+(-Assumptions!$B$17*(1+Assumptions!$B$18)^(1-1)))+IF(1&lt;=Assumptions!$B$20,-(Assumptions!$B$7*$D$18)/Assumptions!$B$20,0)+IF(1&lt;=Assumptions!$B$12,IPMT(Assumptions!$B$11,1,Assumptions!$B$12,((Assumptions!$B$7*$D$18)*(1-Assumptions!$B$8))),0))+(-MAX(0,((((Assumptions!$B$5*8760*$B$18*(1-Assumptions!$B$16)^(1-1)/1000)*$C$18/10)+(-Assumptions!$B$17*(1+Assumptions!$B$18)^(1-1)))+IF(1&lt;=Assumptions!$B$20,-(Assumptions!$B$7*$D$18)/Assumptions!$B$20,0)+IF(1&lt;=Assumptions!$B$12,IPMT(Assumptions!$B$11,1,Assumptions!$B$12,((Assumptions!$B$7*$D$18)*(1-Assumptions!$B$8))),0)))*Assumptions!$B$19))-(IF(1&lt;=Assumptions!$B$20,-(Assumptions!$B$7*$D$18)/Assumptions!$B$20,0))+(IF(1&lt;=Assumptions!$B$12,PPMT(Assumptions!$B$11,1,Assumptions!$B$12,((Assumptions!$B$7*$D$18)*(1-Assumptions!$B$8))),0))</f>
        <v>0.64535933042936</v>
      </c>
      <c r="D28" s="39" t="n">
        <f aca="false">(((((Assumptions!$B$5*8760*$B$18*(1-Assumptions!$B$16)^(2-1)/1000)*$C$18/10)+(-Assumptions!$B$17*(1+Assumptions!$B$18)^(2-1)))+IF(2&lt;=Assumptions!$B$20,-(Assumptions!$B$7*$D$18)/Assumptions!$B$20,0)+IF(2&lt;=Assumptions!$B$12,IPMT(Assumptions!$B$11,2,Assumptions!$B$12,((Assumptions!$B$7*$D$18)*(1-Assumptions!$B$8))),0))+(-MAX(0,((((Assumptions!$B$5*8760*$B$18*(1-Assumptions!$B$16)^(2-1)/1000)*$C$18/10)+(-Assumptions!$B$17*(1+Assumptions!$B$18)^(2-1)))+IF(2&lt;=Assumptions!$B$20,-(Assumptions!$B$7*$D$18)/Assumptions!$B$20,0)+IF(2&lt;=Assumptions!$B$12,IPMT(Assumptions!$B$11,2,Assumptions!$B$12,((Assumptions!$B$7*$D$18)*(1-Assumptions!$B$8))),0)))*Assumptions!$B$19))-(IF(2&lt;=Assumptions!$B$20,-(Assumptions!$B$7*$D$18)/Assumptions!$B$20,0))+(IF(2&lt;=Assumptions!$B$12,PPMT(Assumptions!$B$11,2,Assumptions!$B$12,((Assumptions!$B$7*$D$18)*(1-Assumptions!$B$8))),0))</f>
        <v>0.589936902864021</v>
      </c>
      <c r="E28" s="39" t="n">
        <f aca="false">(((((Assumptions!$B$5*8760*$B$18*(1-Assumptions!$B$16)^(3-1)/1000)*$C$18/10)+(-Assumptions!$B$17*(1+Assumptions!$B$18)^(3-1)))+IF(3&lt;=Assumptions!$B$20,-(Assumptions!$B$7*$D$18)/Assumptions!$B$20,0)+IF(3&lt;=Assumptions!$B$12,IPMT(Assumptions!$B$11,3,Assumptions!$B$12,((Assumptions!$B$7*$D$18)*(1-Assumptions!$B$8))),0))+(-MAX(0,((((Assumptions!$B$5*8760*$B$18*(1-Assumptions!$B$16)^(3-1)/1000)*$C$18/10)+(-Assumptions!$B$17*(1+Assumptions!$B$18)^(3-1)))+IF(3&lt;=Assumptions!$B$20,-(Assumptions!$B$7*$D$18)/Assumptions!$B$20,0)+IF(3&lt;=Assumptions!$B$12,IPMT(Assumptions!$B$11,3,Assumptions!$B$12,((Assumptions!$B$7*$D$18)*(1-Assumptions!$B$8))),0)))*Assumptions!$B$19))-(IF(3&lt;=Assumptions!$B$20,-(Assumptions!$B$7*$D$18)/Assumptions!$B$20,0))+(IF(3&lt;=Assumptions!$B$12,PPMT(Assumptions!$B$11,3,Assumptions!$B$12,((Assumptions!$B$7*$D$18)*(1-Assumptions!$B$8))),0))</f>
        <v>0.531849314817801</v>
      </c>
      <c r="F28" s="39" t="n">
        <f aca="false">(((((Assumptions!$B$5*8760*$B$18*(1-Assumptions!$B$16)^(4-1)/1000)*$C$18/10)+(-Assumptions!$B$17*(1+Assumptions!$B$18)^(4-1)))+IF(4&lt;=Assumptions!$B$20,-(Assumptions!$B$7*$D$18)/Assumptions!$B$20,0)+IF(4&lt;=Assumptions!$B$12,IPMT(Assumptions!$B$11,4,Assumptions!$B$12,((Assumptions!$B$7*$D$18)*(1-Assumptions!$B$8))),0))+(-MAX(0,((((Assumptions!$B$5*8760*$B$18*(1-Assumptions!$B$16)^(4-1)/1000)*$C$18/10)+(-Assumptions!$B$17*(1+Assumptions!$B$18)^(4-1)))+IF(4&lt;=Assumptions!$B$20,-(Assumptions!$B$7*$D$18)/Assumptions!$B$20,0)+IF(4&lt;=Assumptions!$B$12,IPMT(Assumptions!$B$11,4,Assumptions!$B$12,((Assumptions!$B$7*$D$18)*(1-Assumptions!$B$8))),0)))*Assumptions!$B$19))-(IF(4&lt;=Assumptions!$B$20,-(Assumptions!$B$7*$D$18)/Assumptions!$B$20,0))+(IF(4&lt;=Assumptions!$B$12,PPMT(Assumptions!$B$11,4,Assumptions!$B$12,((Assumptions!$B$7*$D$18)*(1-Assumptions!$B$8))),0))</f>
        <v>0.470886337557421</v>
      </c>
      <c r="G28" s="39" t="n">
        <f aca="false">(((((Assumptions!$B$5*8760*$B$18*(1-Assumptions!$B$16)^(5-1)/1000)*$C$18/10)+(-Assumptions!$B$17*(1+Assumptions!$B$18)^(5-1)))+IF(5&lt;=Assumptions!$B$20,-(Assumptions!$B$7*$D$18)/Assumptions!$B$20,0)+IF(5&lt;=Assumptions!$B$12,IPMT(Assumptions!$B$11,5,Assumptions!$B$12,((Assumptions!$B$7*$D$18)*(1-Assumptions!$B$8))),0))+(-MAX(0,((((Assumptions!$B$5*8760*$B$18*(1-Assumptions!$B$16)^(5-1)/1000)*$C$18/10)+(-Assumptions!$B$17*(1+Assumptions!$B$18)^(5-1)))+IF(5&lt;=Assumptions!$B$20,-(Assumptions!$B$7*$D$18)/Assumptions!$B$20,0)+IF(5&lt;=Assumptions!$B$12,IPMT(Assumptions!$B$11,5,Assumptions!$B$12,((Assumptions!$B$7*$D$18)*(1-Assumptions!$B$8))),0)))*Assumptions!$B$19))-(IF(5&lt;=Assumptions!$B$20,-(Assumptions!$B$7*$D$18)/Assumptions!$B$20,0))+(IF(5&lt;=Assumptions!$B$12,PPMT(Assumptions!$B$11,5,Assumptions!$B$12,((Assumptions!$B$7*$D$18)*(1-Assumptions!$B$8))),0))</f>
        <v>0.406820736085057</v>
      </c>
      <c r="H28" s="39" t="n">
        <f aca="false">(((((Assumptions!$B$5*8760*$B$18*(1-Assumptions!$B$16)^(6-1)/1000)*$C$18/10)+(-Assumptions!$B$17*(1+Assumptions!$B$18)^(6-1)))+IF(6&lt;=Assumptions!$B$20,-(Assumptions!$B$7*$D$18)/Assumptions!$B$20,0)+IF(6&lt;=Assumptions!$B$12,IPMT(Assumptions!$B$11,6,Assumptions!$B$12,((Assumptions!$B$7*$D$18)*(1-Assumptions!$B$8))),0))+(-MAX(0,((((Assumptions!$B$5*8760*$B$18*(1-Assumptions!$B$16)^(6-1)/1000)*$C$18/10)+(-Assumptions!$B$17*(1+Assumptions!$B$18)^(6-1)))+IF(6&lt;=Assumptions!$B$20,-(Assumptions!$B$7*$D$18)/Assumptions!$B$20,0)+IF(6&lt;=Assumptions!$B$12,IPMT(Assumptions!$B$11,6,Assumptions!$B$12,((Assumptions!$B$7*$D$18)*(1-Assumptions!$B$8))),0)))*Assumptions!$B$19))-(IF(6&lt;=Assumptions!$B$20,-(Assumptions!$B$7*$D$18)/Assumptions!$B$20,0))+(IF(6&lt;=Assumptions!$B$12,PPMT(Assumptions!$B$11,6,Assumptions!$B$12,((Assumptions!$B$7*$D$18)*(1-Assumptions!$B$8))),0))</f>
        <v>0.339406832127923</v>
      </c>
      <c r="I28" s="39" t="n">
        <f aca="false">(((((Assumptions!$B$5*8760*$B$18*(1-Assumptions!$B$16)^(7-1)/1000)*$C$18/10)+(-Assumptions!$B$17*(1+Assumptions!$B$18)^(7-1)))+IF(7&lt;=Assumptions!$B$20,-(Assumptions!$B$7*$D$18)/Assumptions!$B$20,0)+IF(7&lt;=Assumptions!$B$12,IPMT(Assumptions!$B$11,7,Assumptions!$B$12,((Assumptions!$B$7*$D$18)*(1-Assumptions!$B$8))),0))+(-MAX(0,((((Assumptions!$B$5*8760*$B$18*(1-Assumptions!$B$16)^(7-1)/1000)*$C$18/10)+(-Assumptions!$B$17*(1+Assumptions!$B$18)^(7-1)))+IF(7&lt;=Assumptions!$B$20,-(Assumptions!$B$7*$D$18)/Assumptions!$B$20,0)+IF(7&lt;=Assumptions!$B$12,IPMT(Assumptions!$B$11,7,Assumptions!$B$12,((Assumptions!$B$7*$D$18)*(1-Assumptions!$B$8))),0)))*Assumptions!$B$19))-(IF(7&lt;=Assumptions!$B$20,-(Assumptions!$B$7*$D$18)/Assumptions!$B$20,0))+(IF(7&lt;=Assumptions!$B$12,PPMT(Assumptions!$B$11,7,Assumptions!$B$12,((Assumptions!$B$7*$D$18)*(1-Assumptions!$B$8))),0))</f>
        <v>0.268378942485401</v>
      </c>
      <c r="J28" s="39" t="n">
        <f aca="false">(((((Assumptions!$B$5*8760*$B$18*(1-Assumptions!$B$16)^(8-1)/1000)*$C$18/10)+(-Assumptions!$B$17*(1+Assumptions!$B$18)^(8-1)))+IF(8&lt;=Assumptions!$B$20,-(Assumptions!$B$7*$D$18)/Assumptions!$B$20,0)+IF(8&lt;=Assumptions!$B$12,IPMT(Assumptions!$B$11,8,Assumptions!$B$12,((Assumptions!$B$7*$D$18)*(1-Assumptions!$B$8))),0))+(-MAX(0,((((Assumptions!$B$5*8760*$B$18*(1-Assumptions!$B$16)^(8-1)/1000)*$C$18/10)+(-Assumptions!$B$17*(1+Assumptions!$B$18)^(8-1)))+IF(8&lt;=Assumptions!$B$20,-(Assumptions!$B$7*$D$18)/Assumptions!$B$20,0)+IF(8&lt;=Assumptions!$B$12,IPMT(Assumptions!$B$11,8,Assumptions!$B$12,((Assumptions!$B$7*$D$18)*(1-Assumptions!$B$8))),0)))*Assumptions!$B$19))-(IF(8&lt;=Assumptions!$B$20,-(Assumptions!$B$7*$D$18)/Assumptions!$B$20,0))+(IF(8&lt;=Assumptions!$B$12,PPMT(Assumptions!$B$11,8,Assumptions!$B$12,((Assumptions!$B$7*$D$18)*(1-Assumptions!$B$8))),0))</f>
        <v>0.193449681750265</v>
      </c>
      <c r="K28" s="39" t="n">
        <f aca="false">(((((Assumptions!$B$5*8760*$B$18*(1-Assumptions!$B$16)^(9-1)/1000)*$C$18/10)+(-Assumptions!$B$17*(1+Assumptions!$B$18)^(9-1)))+IF(9&lt;=Assumptions!$B$20,-(Assumptions!$B$7*$D$18)/Assumptions!$B$20,0)+IF(9&lt;=Assumptions!$B$12,IPMT(Assumptions!$B$11,9,Assumptions!$B$12,((Assumptions!$B$7*$D$18)*(1-Assumptions!$B$8))),0))+(-MAX(0,((((Assumptions!$B$5*8760*$B$18*(1-Assumptions!$B$16)^(9-1)/1000)*$C$18/10)+(-Assumptions!$B$17*(1+Assumptions!$B$18)^(9-1)))+IF(9&lt;=Assumptions!$B$20,-(Assumptions!$B$7*$D$18)/Assumptions!$B$20,0)+IF(9&lt;=Assumptions!$B$12,IPMT(Assumptions!$B$11,9,Assumptions!$B$12,((Assumptions!$B$7*$D$18)*(1-Assumptions!$B$8))),0)))*Assumptions!$B$19))-(IF(9&lt;=Assumptions!$B$20,-(Assumptions!$B$7*$D$18)/Assumptions!$B$20,0))+(IF(9&lt;=Assumptions!$B$12,PPMT(Assumptions!$B$11,9,Assumptions!$B$12,((Assumptions!$B$7*$D$18)*(1-Assumptions!$B$8))),0))</f>
        <v>0.114308117443756</v>
      </c>
      <c r="L28" s="39" t="n">
        <f aca="false">(((((Assumptions!$B$5*8760*$B$18*(1-Assumptions!$B$16)^(10-1)/1000)*$C$18/10)+(-Assumptions!$B$17*(1+Assumptions!$B$18)^(10-1)))+IF(10&lt;=Assumptions!$B$20,-(Assumptions!$B$7*$D$18)/Assumptions!$B$20,0)+IF(10&lt;=Assumptions!$B$12,IPMT(Assumptions!$B$11,10,Assumptions!$B$12,((Assumptions!$B$7*$D$18)*(1-Assumptions!$B$8))),0))+(-MAX(0,((((Assumptions!$B$5*8760*$B$18*(1-Assumptions!$B$16)^(10-1)/1000)*$C$18/10)+(-Assumptions!$B$17*(1+Assumptions!$B$18)^(10-1)))+IF(10&lt;=Assumptions!$B$20,-(Assumptions!$B$7*$D$18)/Assumptions!$B$20,0)+IF(10&lt;=Assumptions!$B$12,IPMT(Assumptions!$B$11,10,Assumptions!$B$12,((Assumptions!$B$7*$D$18)*(1-Assumptions!$B$8))),0)))*Assumptions!$B$19))-(IF(10&lt;=Assumptions!$B$20,-(Assumptions!$B$7*$D$18)/Assumptions!$B$20,0))+(IF(10&lt;=Assumptions!$B$12,PPMT(Assumptions!$B$11,10,Assumptions!$B$12,((Assumptions!$B$7*$D$18)*(1-Assumptions!$B$8))),0))</f>
        <v>0.0306177645401537</v>
      </c>
      <c r="M28" s="39" t="n">
        <f aca="false">(((((Assumptions!$B$5*8760*$B$18*(1-Assumptions!$B$16)^(11-1)/1000)*$C$18/10)+(-Assumptions!$B$17*(1+Assumptions!$B$18)^(11-1)))+IF(11&lt;=Assumptions!$B$20,-(Assumptions!$B$7*$D$18)/Assumptions!$B$20,0)+IF(11&lt;=Assumptions!$B$12,IPMT(Assumptions!$B$11,11,Assumptions!$B$12,((Assumptions!$B$7*$D$18)*(1-Assumptions!$B$8))),0))+(-MAX(0,((((Assumptions!$B$5*8760*$B$18*(1-Assumptions!$B$16)^(11-1)/1000)*$C$18/10)+(-Assumptions!$B$17*(1+Assumptions!$B$18)^(11-1)))+IF(11&lt;=Assumptions!$B$20,-(Assumptions!$B$7*$D$18)/Assumptions!$B$20,0)+IF(11&lt;=Assumptions!$B$12,IPMT(Assumptions!$B$11,11,Assumptions!$B$12,((Assumptions!$B$7*$D$18)*(1-Assumptions!$B$8))),0)))*Assumptions!$B$19))-(IF(11&lt;=Assumptions!$B$20,-(Assumptions!$B$7*$D$18)/Assumptions!$B$20,0))+(IF(11&lt;=Assumptions!$B$12,PPMT(Assumptions!$B$11,11,Assumptions!$B$12,((Assumptions!$B$7*$D$18)*(1-Assumptions!$B$8))),0))</f>
        <v>-0.0579855948027999</v>
      </c>
      <c r="N28" s="39" t="n">
        <f aca="false">(((((Assumptions!$B$5*8760*$B$18*(1-Assumptions!$B$16)^(12-1)/1000)*$C$18/10)+(-Assumptions!$B$17*(1+Assumptions!$B$18)^(12-1)))+IF(12&lt;=Assumptions!$B$20,-(Assumptions!$B$7*$D$18)/Assumptions!$B$20,0)+IF(12&lt;=Assumptions!$B$12,IPMT(Assumptions!$B$11,12,Assumptions!$B$12,((Assumptions!$B$7*$D$18)*(1-Assumptions!$B$8))),0))+(-MAX(0,((((Assumptions!$B$5*8760*$B$18*(1-Assumptions!$B$16)^(12-1)/1000)*$C$18/10)+(-Assumptions!$B$17*(1+Assumptions!$B$18)^(12-1)))+IF(12&lt;=Assumptions!$B$20,-(Assumptions!$B$7*$D$18)/Assumptions!$B$20,0)+IF(12&lt;=Assumptions!$B$12,IPMT(Assumptions!$B$11,12,Assumptions!$B$12,((Assumptions!$B$7*$D$18)*(1-Assumptions!$B$8))),0)))*Assumptions!$B$19))-(IF(12&lt;=Assumptions!$B$20,-(Assumptions!$B$7*$D$18)/Assumptions!$B$20,0))+(IF(12&lt;=Assumptions!$B$12,PPMT(Assumptions!$B$11,12,Assumptions!$B$12,((Assumptions!$B$7*$D$18)*(1-Assumptions!$B$8))),0))</f>
        <v>-0.151896281754198</v>
      </c>
      <c r="O28" s="39" t="n">
        <f aca="false">(((((Assumptions!$B$5*8760*$B$18*(1-Assumptions!$B$16)^(13-1)/1000)*$C$18/10)+(-Assumptions!$B$17*(1+Assumptions!$B$18)^(13-1)))+IF(13&lt;=Assumptions!$B$20,-(Assumptions!$B$7*$D$18)/Assumptions!$B$20,0)+IF(13&lt;=Assumptions!$B$12,IPMT(Assumptions!$B$11,13,Assumptions!$B$12,((Assumptions!$B$7*$D$18)*(1-Assumptions!$B$8))),0))+(-MAX(0,((((Assumptions!$B$5*8760*$B$18*(1-Assumptions!$B$16)^(13-1)/1000)*$C$18/10)+(-Assumptions!$B$17*(1+Assumptions!$B$18)^(13-1)))+IF(13&lt;=Assumptions!$B$20,-(Assumptions!$B$7*$D$18)/Assumptions!$B$20,0)+IF(13&lt;=Assumptions!$B$12,IPMT(Assumptions!$B$11,13,Assumptions!$B$12,((Assumptions!$B$7*$D$18)*(1-Assumptions!$B$8))),0)))*Assumptions!$B$19))-(IF(13&lt;=Assumptions!$B$20,-(Assumptions!$B$7*$D$18)/Assumptions!$B$20,0))+(IF(13&lt;=Assumptions!$B$12,PPMT(Assumptions!$B$11,13,Assumptions!$B$12,((Assumptions!$B$7*$D$18)*(1-Assumptions!$B$8))),0))</f>
        <v>-0.251541298383556</v>
      </c>
      <c r="P28" s="39" t="n">
        <f aca="false">(((((Assumptions!$B$5*8760*$B$18*(1-Assumptions!$B$16)^(14-1)/1000)*$C$18/10)+(-Assumptions!$B$17*(1+Assumptions!$B$18)^(14-1)))+IF(14&lt;=Assumptions!$B$20,-(Assumptions!$B$7*$D$18)/Assumptions!$B$20,0)+IF(14&lt;=Assumptions!$B$12,IPMT(Assumptions!$B$11,14,Assumptions!$B$12,((Assumptions!$B$7*$D$18)*(1-Assumptions!$B$8))),0))+(-MAX(0,((((Assumptions!$B$5*8760*$B$18*(1-Assumptions!$B$16)^(14-1)/1000)*$C$18/10)+(-Assumptions!$B$17*(1+Assumptions!$B$18)^(14-1)))+IF(14&lt;=Assumptions!$B$20,-(Assumptions!$B$7*$D$18)/Assumptions!$B$20,0)+IF(14&lt;=Assumptions!$B$12,IPMT(Assumptions!$B$11,14,Assumptions!$B$12,((Assumptions!$B$7*$D$18)*(1-Assumptions!$B$8))),0)))*Assumptions!$B$19))-(IF(14&lt;=Assumptions!$B$20,-(Assumptions!$B$7*$D$18)/Assumptions!$B$20,0))+(IF(14&lt;=Assumptions!$B$12,PPMT(Assumptions!$B$11,14,Assumptions!$B$12,((Assumptions!$B$7*$D$18)*(1-Assumptions!$B$8))),0))</f>
        <v>-0.357383130619272</v>
      </c>
      <c r="Q28" s="39" t="n">
        <f aca="false">(((((Assumptions!$B$5*8760*$B$18*(1-Assumptions!$B$16)^(15-1)/1000)*$C$18/10)+(-Assumptions!$B$17*(1+Assumptions!$B$18)^(15-1)))+IF(15&lt;=Assumptions!$B$20,-(Assumptions!$B$7*$D$18)/Assumptions!$B$20,0)+IF(15&lt;=Assumptions!$B$12,IPMT(Assumptions!$B$11,15,Assumptions!$B$12,((Assumptions!$B$7*$D$18)*(1-Assumptions!$B$8))),0))+(-MAX(0,((((Assumptions!$B$5*8760*$B$18*(1-Assumptions!$B$16)^(15-1)/1000)*$C$18/10)+(-Assumptions!$B$17*(1+Assumptions!$B$18)^(15-1)))+IF(15&lt;=Assumptions!$B$20,-(Assumptions!$B$7*$D$18)/Assumptions!$B$20,0)+IF(15&lt;=Assumptions!$B$12,IPMT(Assumptions!$B$11,15,Assumptions!$B$12,((Assumptions!$B$7*$D$18)*(1-Assumptions!$B$8))),0)))*Assumptions!$B$19))-(IF(15&lt;=Assumptions!$B$20,-(Assumptions!$B$7*$D$18)/Assumptions!$B$20,0))+(IF(15&lt;=Assumptions!$B$12,PPMT(Assumptions!$B$11,15,Assumptions!$B$12,((Assumptions!$B$7*$D$18)*(1-Assumptions!$B$8))),0))</f>
        <v>-0.469922796546849</v>
      </c>
      <c r="R28" s="39" t="n">
        <f aca="false">(((((Assumptions!$B$5*8760*$B$18*(1-Assumptions!$B$16)^(16-1)/1000)*$C$18/10)+(-Assumptions!$B$17*(1+Assumptions!$B$18)^(16-1)))+IF(16&lt;=Assumptions!$B$20,-(Assumptions!$B$7*$D$18)/Assumptions!$B$20,0)+IF(16&lt;=Assumptions!$B$12,IPMT(Assumptions!$B$11,16,Assumptions!$B$12,((Assumptions!$B$7*$D$18)*(1-Assumptions!$B$8))),0))+(-MAX(0,((((Assumptions!$B$5*8760*$B$18*(1-Assumptions!$B$16)^(16-1)/1000)*$C$18/10)+(-Assumptions!$B$17*(1+Assumptions!$B$18)^(16-1)))+IF(16&lt;=Assumptions!$B$20,-(Assumptions!$B$7*$D$18)/Assumptions!$B$20,0)+IF(16&lt;=Assumptions!$B$12,IPMT(Assumptions!$B$11,16,Assumptions!$B$12,((Assumptions!$B$7*$D$18)*(1-Assumptions!$B$8))),0)))*Assumptions!$B$19))-(IF(16&lt;=Assumptions!$B$20,-(Assumptions!$B$7*$D$18)/Assumptions!$B$20,0))+(IF(16&lt;=Assumptions!$B$12,PPMT(Assumptions!$B$11,16,Assumptions!$B$12,((Assumptions!$B$7*$D$18)*(1-Assumptions!$B$8))),0))</f>
        <v>2.66684250778949</v>
      </c>
      <c r="S28" s="39" t="n">
        <f aca="false">(((((Assumptions!$B$5*8760*$B$18*(1-Assumptions!$B$16)^(17-1)/1000)*$C$18/10)+(-Assumptions!$B$17*(1+Assumptions!$B$18)^(17-1)))+IF(17&lt;=Assumptions!$B$20,-(Assumptions!$B$7*$D$18)/Assumptions!$B$20,0)+IF(17&lt;=Assumptions!$B$12,IPMT(Assumptions!$B$11,17,Assumptions!$B$12,((Assumptions!$B$7*$D$18)*(1-Assumptions!$B$8))),0))+(-MAX(0,((((Assumptions!$B$5*8760*$B$18*(1-Assumptions!$B$16)^(17-1)/1000)*$C$18/10)+(-Assumptions!$B$17*(1+Assumptions!$B$18)^(17-1)))+IF(17&lt;=Assumptions!$B$20,-(Assumptions!$B$7*$D$18)/Assumptions!$B$20,0)+IF(17&lt;=Assumptions!$B$12,IPMT(Assumptions!$B$11,17,Assumptions!$B$12,((Assumptions!$B$7*$D$18)*(1-Assumptions!$B$8))),0)))*Assumptions!$B$19))-(IF(17&lt;=Assumptions!$B$20,-(Assumptions!$B$7*$D$18)/Assumptions!$B$20,0))+(IF(17&lt;=Assumptions!$B$12,PPMT(Assumptions!$B$11,17,Assumptions!$B$12,((Assumptions!$B$7*$D$18)*(1-Assumptions!$B$8))),0))</f>
        <v>2.61250540155018</v>
      </c>
      <c r="T28" s="39" t="n">
        <f aca="false">(((((Assumptions!$B$5*8760*$B$18*(1-Assumptions!$B$16)^(18-1)/1000)*$C$18/10)+(-Assumptions!$B$17*(1+Assumptions!$B$18)^(18-1)))+IF(18&lt;=Assumptions!$B$20,-(Assumptions!$B$7*$D$18)/Assumptions!$B$20,0)+IF(18&lt;=Assumptions!$B$12,IPMT(Assumptions!$B$11,18,Assumptions!$B$12,((Assumptions!$B$7*$D$18)*(1-Assumptions!$B$8))),0))+(-MAX(0,((((Assumptions!$B$5*8760*$B$18*(1-Assumptions!$B$16)^(18-1)/1000)*$C$18/10)+(-Assumptions!$B$17*(1+Assumptions!$B$18)^(18-1)))+IF(18&lt;=Assumptions!$B$20,-(Assumptions!$B$7*$D$18)/Assumptions!$B$20,0)+IF(18&lt;=Assumptions!$B$12,IPMT(Assumptions!$B$11,18,Assumptions!$B$12,((Assumptions!$B$7*$D$18)*(1-Assumptions!$B$8))),0)))*Assumptions!$B$19))-(IF(18&lt;=Assumptions!$B$20,-(Assumptions!$B$7*$D$18)/Assumptions!$B$20,0))+(IF(18&lt;=Assumptions!$B$12,PPMT(Assumptions!$B$11,18,Assumptions!$B$12,((Assumptions!$B$7*$D$18)*(1-Assumptions!$B$8))),0))</f>
        <v>2.55629608615705</v>
      </c>
      <c r="U28" s="39" t="n">
        <f aca="false">(((((Assumptions!$B$5*8760*$B$18*(1-Assumptions!$B$16)^(19-1)/1000)*$C$18/10)+(-Assumptions!$B$17*(1+Assumptions!$B$18)^(19-1)))+IF(19&lt;=Assumptions!$B$20,-(Assumptions!$B$7*$D$18)/Assumptions!$B$20,0)+IF(19&lt;=Assumptions!$B$12,IPMT(Assumptions!$B$11,19,Assumptions!$B$12,((Assumptions!$B$7*$D$18)*(1-Assumptions!$B$8))),0))+(-MAX(0,((((Assumptions!$B$5*8760*$B$18*(1-Assumptions!$B$16)^(19-1)/1000)*$C$18/10)+(-Assumptions!$B$17*(1+Assumptions!$B$18)^(19-1)))+IF(19&lt;=Assumptions!$B$20,-(Assumptions!$B$7*$D$18)/Assumptions!$B$20,0)+IF(19&lt;=Assumptions!$B$12,IPMT(Assumptions!$B$11,19,Assumptions!$B$12,((Assumptions!$B$7*$D$18)*(1-Assumptions!$B$8))),0)))*Assumptions!$B$19))-(IF(19&lt;=Assumptions!$B$20,-(Assumptions!$B$7*$D$18)/Assumptions!$B$20,0))+(IF(19&lt;=Assumptions!$B$12,PPMT(Assumptions!$B$11,19,Assumptions!$B$12,((Assumptions!$B$7*$D$18)*(1-Assumptions!$B$8))),0))</f>
        <v>2.49811672792162</v>
      </c>
      <c r="V28" s="39" t="n">
        <f aca="false">(((((Assumptions!$B$5*8760*$B$18*(1-Assumptions!$B$16)^(20-1)/1000)*$C$18/10)+(-Assumptions!$B$17*(1+Assumptions!$B$18)^(20-1)))+IF(20&lt;=Assumptions!$B$20,-(Assumptions!$B$7*$D$18)/Assumptions!$B$20,0)+IF(20&lt;=Assumptions!$B$12,IPMT(Assumptions!$B$11,20,Assumptions!$B$12,((Assumptions!$B$7*$D$18)*(1-Assumptions!$B$8))),0))+(-MAX(0,((((Assumptions!$B$5*8760*$B$18*(1-Assumptions!$B$16)^(20-1)/1000)*$C$18/10)+(-Assumptions!$B$17*(1+Assumptions!$B$18)^(20-1)))+IF(20&lt;=Assumptions!$B$20,-(Assumptions!$B$7*$D$18)/Assumptions!$B$20,0)+IF(20&lt;=Assumptions!$B$12,IPMT(Assumptions!$B$11,20,Assumptions!$B$12,((Assumptions!$B$7*$D$18)*(1-Assumptions!$B$8))),0)))*Assumptions!$B$19))-(IF(20&lt;=Assumptions!$B$20,-(Assumptions!$B$7*$D$18)/Assumptions!$B$20,0))+(IF(20&lt;=Assumptions!$B$12,PPMT(Assumptions!$B$11,20,Assumptions!$B$12,((Assumptions!$B$7*$D$18)*(1-Assumptions!$B$8))),0))</f>
        <v>2.43786462258714</v>
      </c>
      <c r="W28" s="39" t="n">
        <f aca="false">(((((Assumptions!$B$5*8760*$B$18*(1-Assumptions!$B$16)^(21-1)/1000)*$C$18/10)+(-Assumptions!$B$17*(1+Assumptions!$B$18)^(21-1)))+IF(21&lt;=Assumptions!$B$20,-(Assumptions!$B$7*$D$18)/Assumptions!$B$20,0)+IF(21&lt;=Assumptions!$B$12,IPMT(Assumptions!$B$11,21,Assumptions!$B$12,((Assumptions!$B$7*$D$18)*(1-Assumptions!$B$8))),0))+(-MAX(0,((((Assumptions!$B$5*8760*$B$18*(1-Assumptions!$B$16)^(21-1)/1000)*$C$18/10)+(-Assumptions!$B$17*(1+Assumptions!$B$18)^(21-1)))+IF(21&lt;=Assumptions!$B$20,-(Assumptions!$B$7*$D$18)/Assumptions!$B$20,0)+IF(21&lt;=Assumptions!$B$12,IPMT(Assumptions!$B$11,21,Assumptions!$B$12,((Assumptions!$B$7*$D$18)*(1-Assumptions!$B$8))),0)))*Assumptions!$B$19))-(IF(21&lt;=Assumptions!$B$20,-(Assumptions!$B$7*$D$18)/Assumptions!$B$20,0))+(IF(21&lt;=Assumptions!$B$12,PPMT(Assumptions!$B$11,21,Assumptions!$B$12,((Assumptions!$B$7*$D$18)*(1-Assumptions!$B$8))),0))</f>
        <v>2.37543195169458</v>
      </c>
      <c r="X28" s="39" t="n">
        <f aca="false">(((((Assumptions!$B$5*8760*$B$18*(1-Assumptions!$B$16)^(22-1)/1000)*$C$18/10)+(-Assumptions!$B$17*(1+Assumptions!$B$18)^(22-1)))+IF(22&lt;=Assumptions!$B$20,-(Assumptions!$B$7*$D$18)/Assumptions!$B$20,0)+IF(22&lt;=Assumptions!$B$12,IPMT(Assumptions!$B$11,22,Assumptions!$B$12,((Assumptions!$B$7*$D$18)*(1-Assumptions!$B$8))),0))+(-MAX(0,((((Assumptions!$B$5*8760*$B$18*(1-Assumptions!$B$16)^(22-1)/1000)*$C$18/10)+(-Assumptions!$B$17*(1+Assumptions!$B$18)^(22-1)))+IF(22&lt;=Assumptions!$B$20,-(Assumptions!$B$7*$D$18)/Assumptions!$B$20,0)+IF(22&lt;=Assumptions!$B$12,IPMT(Assumptions!$B$11,22,Assumptions!$B$12,((Assumptions!$B$7*$D$18)*(1-Assumptions!$B$8))),0)))*Assumptions!$B$19))-(IF(22&lt;=Assumptions!$B$20,-(Assumptions!$B$7*$D$18)/Assumptions!$B$20,0))+(IF(22&lt;=Assumptions!$B$12,PPMT(Assumptions!$B$11,22,Assumptions!$B$12,((Assumptions!$B$7*$D$18)*(1-Assumptions!$B$8))),0))</f>
        <v>2.3107055267675</v>
      </c>
      <c r="Y28" s="39" t="n">
        <f aca="false">(((((Assumptions!$B$5*8760*$B$18*(1-Assumptions!$B$16)^(23-1)/1000)*$C$18/10)+(-Assumptions!$B$17*(1+Assumptions!$B$18)^(23-1)))+IF(23&lt;=Assumptions!$B$20,-(Assumptions!$B$7*$D$18)/Assumptions!$B$20,0)+IF(23&lt;=Assumptions!$B$12,IPMT(Assumptions!$B$11,23,Assumptions!$B$12,((Assumptions!$B$7*$D$18)*(1-Assumptions!$B$8))),0))+(-MAX(0,((((Assumptions!$B$5*8760*$B$18*(1-Assumptions!$B$16)^(23-1)/1000)*$C$18/10)+(-Assumptions!$B$17*(1+Assumptions!$B$18)^(23-1)))+IF(23&lt;=Assumptions!$B$20,-(Assumptions!$B$7*$D$18)/Assumptions!$B$20,0)+IF(23&lt;=Assumptions!$B$12,IPMT(Assumptions!$B$11,23,Assumptions!$B$12,((Assumptions!$B$7*$D$18)*(1-Assumptions!$B$8))),0)))*Assumptions!$B$19))-(IF(23&lt;=Assumptions!$B$20,-(Assumptions!$B$7*$D$18)/Assumptions!$B$20,0))+(IF(23&lt;=Assumptions!$B$12,PPMT(Assumptions!$B$11,23,Assumptions!$B$12,((Assumptions!$B$7*$D$18)*(1-Assumptions!$B$8))),0))</f>
        <v>2.24356652070663</v>
      </c>
      <c r="Z28" s="39" t="n">
        <f aca="false">(((((Assumptions!$B$5*8760*$B$18*(1-Assumptions!$B$16)^(24-1)/1000)*$C$18/10)+(-Assumptions!$B$17*(1+Assumptions!$B$18)^(24-1)))+IF(24&lt;=Assumptions!$B$20,-(Assumptions!$B$7*$D$18)/Assumptions!$B$20,0)+IF(24&lt;=Assumptions!$B$12,IPMT(Assumptions!$B$11,24,Assumptions!$B$12,((Assumptions!$B$7*$D$18)*(1-Assumptions!$B$8))),0))+(-MAX(0,((((Assumptions!$B$5*8760*$B$18*(1-Assumptions!$B$16)^(24-1)/1000)*$C$18/10)+(-Assumptions!$B$17*(1+Assumptions!$B$18)^(24-1)))+IF(24&lt;=Assumptions!$B$20,-(Assumptions!$B$7*$D$18)/Assumptions!$B$20,0)+IF(24&lt;=Assumptions!$B$12,IPMT(Assumptions!$B$11,24,Assumptions!$B$12,((Assumptions!$B$7*$D$18)*(1-Assumptions!$B$8))),0)))*Assumptions!$B$19))-(IF(24&lt;=Assumptions!$B$20,-(Assumptions!$B$7*$D$18)/Assumptions!$B$20,0))+(IF(24&lt;=Assumptions!$B$12,PPMT(Assumptions!$B$11,24,Assumptions!$B$12,((Assumptions!$B$7*$D$18)*(1-Assumptions!$B$8))),0))</f>
        <v>2.17389018575471</v>
      </c>
      <c r="AA28" s="39" t="n">
        <f aca="false">(((((Assumptions!$B$5*8760*$B$18*(1-Assumptions!$B$16)^(25-1)/1000)*$C$18/10)+(-Assumptions!$B$17*(1+Assumptions!$B$18)^(25-1)))+IF(25&lt;=Assumptions!$B$20,-(Assumptions!$B$7*$D$18)/Assumptions!$B$20,0)+IF(25&lt;=Assumptions!$B$12,IPMT(Assumptions!$B$11,25,Assumptions!$B$12,((Assumptions!$B$7*$D$18)*(1-Assumptions!$B$8))),0))+(-MAX(0,((((Assumptions!$B$5*8760*$B$18*(1-Assumptions!$B$16)^(25-1)/1000)*$C$18/10)+(-Assumptions!$B$17*(1+Assumptions!$B$18)^(25-1)))+IF(25&lt;=Assumptions!$B$20,-(Assumptions!$B$7*$D$18)/Assumptions!$B$20,0)+IF(25&lt;=Assumptions!$B$12,IPMT(Assumptions!$B$11,25,Assumptions!$B$12,((Assumptions!$B$7*$D$18)*(1-Assumptions!$B$8))),0)))*Assumptions!$B$19))-(IF(25&lt;=Assumptions!$B$20,-(Assumptions!$B$7*$D$18)/Assumptions!$B$20,0))+(IF(25&lt;=Assumptions!$B$12,PPMT(Assumptions!$B$11,25,Assumptions!$B$12,((Assumptions!$B$7*$D$18)*(1-Assumptions!$B$8))),0))</f>
        <v>2.10154555736013</v>
      </c>
    </row>
    <row r="29" customFormat="false" ht="15" hidden="false" customHeight="false" outlineLevel="0" collapsed="false">
      <c r="A29" s="37" t="s">
        <v>26</v>
      </c>
      <c r="B29" s="39" t="n">
        <f aca="false">-((Assumptions!$B$7*$D$19)*Assumptions!$B$8)</f>
        <v>-12.9375</v>
      </c>
      <c r="C29" s="39" t="n">
        <f aca="false">(((((Assumptions!$B$5*8760*$B$19*(1-Assumptions!$B$16)^(1-1)/1000)*$C$19/10)+(-Assumptions!$B$17*(1+Assumptions!$B$18)^(1-1)))+IF(1&lt;=Assumptions!$B$20,-(Assumptions!$B$7*$D$19)/Assumptions!$B$20,0)+IF(1&lt;=Assumptions!$B$12,IPMT(Assumptions!$B$11,1,Assumptions!$B$12,((Assumptions!$B$7*$D$19)*(1-Assumptions!$B$8))),0))+(-MAX(0,((((Assumptions!$B$5*8760*$B$19*(1-Assumptions!$B$16)^(1-1)/1000)*$C$19/10)+(-Assumptions!$B$17*(1+Assumptions!$B$18)^(1-1)))+IF(1&lt;=Assumptions!$B$20,-(Assumptions!$B$7*$D$19)/Assumptions!$B$20,0)+IF(1&lt;=Assumptions!$B$12,IPMT(Assumptions!$B$11,1,Assumptions!$B$12,((Assumptions!$B$7*$D$19)*(1-Assumptions!$B$8))),0)))*Assumptions!$B$19))-(IF(1&lt;=Assumptions!$B$20,-(Assumptions!$B$7*$D$19)/Assumptions!$B$20,0))+(IF(1&lt;=Assumptions!$B$12,PPMT(Assumptions!$B$11,1,Assumptions!$B$12,((Assumptions!$B$7*$D$19)*(1-Assumptions!$B$8))),0))</f>
        <v>1.03756122999376</v>
      </c>
      <c r="D29" s="39" t="n">
        <f aca="false">(((((Assumptions!$B$5*8760*$B$19*(1-Assumptions!$B$16)^(2-1)/1000)*$C$19/10)+(-Assumptions!$B$17*(1+Assumptions!$B$18)^(2-1)))+IF(2&lt;=Assumptions!$B$20,-(Assumptions!$B$7*$D$19)/Assumptions!$B$20,0)+IF(2&lt;=Assumptions!$B$12,IPMT(Assumptions!$B$11,2,Assumptions!$B$12,((Assumptions!$B$7*$D$19)*(1-Assumptions!$B$8))),0))+(-MAX(0,((((Assumptions!$B$5*8760*$B$19*(1-Assumptions!$B$16)^(2-1)/1000)*$C$19/10)+(-Assumptions!$B$17*(1+Assumptions!$B$18)^(2-1)))+IF(2&lt;=Assumptions!$B$20,-(Assumptions!$B$7*$D$19)/Assumptions!$B$20,0)+IF(2&lt;=Assumptions!$B$12,IPMT(Assumptions!$B$11,2,Assumptions!$B$12,((Assumptions!$B$7*$D$19)*(1-Assumptions!$B$8))),0)))*Assumptions!$B$19))-(IF(2&lt;=Assumptions!$B$20,-(Assumptions!$B$7*$D$19)/Assumptions!$B$20,0))+(IF(2&lt;=Assumptions!$B$12,PPMT(Assumptions!$B$11,2,Assumptions!$B$12,((Assumptions!$B$7*$D$19)*(1-Assumptions!$B$8))),0))</f>
        <v>0.975442198293623</v>
      </c>
      <c r="E29" s="39" t="n">
        <f aca="false">(((((Assumptions!$B$5*8760*$B$19*(1-Assumptions!$B$16)^(3-1)/1000)*$C$19/10)+(-Assumptions!$B$17*(1+Assumptions!$B$18)^(3-1)))+IF(3&lt;=Assumptions!$B$20,-(Assumptions!$B$7*$D$19)/Assumptions!$B$20,0)+IF(3&lt;=Assumptions!$B$12,IPMT(Assumptions!$B$11,3,Assumptions!$B$12,((Assumptions!$B$7*$D$19)*(1-Assumptions!$B$8))),0))+(-MAX(0,((((Assumptions!$B$5*8760*$B$19*(1-Assumptions!$B$16)^(3-1)/1000)*$C$19/10)+(-Assumptions!$B$17*(1+Assumptions!$B$18)^(3-1)))+IF(3&lt;=Assumptions!$B$20,-(Assumptions!$B$7*$D$19)/Assumptions!$B$20,0)+IF(3&lt;=Assumptions!$B$12,IPMT(Assumptions!$B$11,3,Assumptions!$B$12,((Assumptions!$B$7*$D$19)*(1-Assumptions!$B$8))),0)))*Assumptions!$B$19))-(IF(3&lt;=Assumptions!$B$20,-(Assumptions!$B$7*$D$19)/Assumptions!$B$20,0))+(IF(3&lt;=Assumptions!$B$12,PPMT(Assumptions!$B$11,3,Assumptions!$B$12,((Assumptions!$B$7*$D$19)*(1-Assumptions!$B$8))),0))</f>
        <v>0.91040483574047</v>
      </c>
      <c r="F29" s="39" t="n">
        <f aca="false">(((((Assumptions!$B$5*8760*$B$19*(1-Assumptions!$B$16)^(4-1)/1000)*$C$19/10)+(-Assumptions!$B$17*(1+Assumptions!$B$18)^(4-1)))+IF(4&lt;=Assumptions!$B$20,-(Assumptions!$B$7*$D$19)/Assumptions!$B$20,0)+IF(4&lt;=Assumptions!$B$12,IPMT(Assumptions!$B$11,4,Assumptions!$B$12,((Assumptions!$B$7*$D$19)*(1-Assumptions!$B$8))),0))+(-MAX(0,((((Assumptions!$B$5*8760*$B$19*(1-Assumptions!$B$16)^(4-1)/1000)*$C$19/10)+(-Assumptions!$B$17*(1+Assumptions!$B$18)^(4-1)))+IF(4&lt;=Assumptions!$B$20,-(Assumptions!$B$7*$D$19)/Assumptions!$B$20,0)+IF(4&lt;=Assumptions!$B$12,IPMT(Assumptions!$B$11,4,Assumptions!$B$12,((Assumptions!$B$7*$D$19)*(1-Assumptions!$B$8))),0)))*Assumptions!$B$19))-(IF(4&lt;=Assumptions!$B$20,-(Assumptions!$B$7*$D$19)/Assumptions!$B$20,0))+(IF(4&lt;=Assumptions!$B$12,PPMT(Assumptions!$B$11,4,Assumptions!$B$12,((Assumptions!$B$7*$D$19)*(1-Assumptions!$B$8))),0))</f>
        <v>0.842214380647535</v>
      </c>
      <c r="G29" s="39" t="n">
        <f aca="false">(((((Assumptions!$B$5*8760*$B$19*(1-Assumptions!$B$16)^(5-1)/1000)*$C$19/10)+(-Assumptions!$B$17*(1+Assumptions!$B$18)^(5-1)))+IF(5&lt;=Assumptions!$B$20,-(Assumptions!$B$7*$D$19)/Assumptions!$B$20,0)+IF(5&lt;=Assumptions!$B$12,IPMT(Assumptions!$B$11,5,Assumptions!$B$12,((Assumptions!$B$7*$D$19)*(1-Assumptions!$B$8))),0))+(-MAX(0,((((Assumptions!$B$5*8760*$B$19*(1-Assumptions!$B$16)^(5-1)/1000)*$C$19/10)+(-Assumptions!$B$17*(1+Assumptions!$B$18)^(5-1)))+IF(5&lt;=Assumptions!$B$20,-(Assumptions!$B$7*$D$19)/Assumptions!$B$20,0)+IF(5&lt;=Assumptions!$B$12,IPMT(Assumptions!$B$11,5,Assumptions!$B$12,((Assumptions!$B$7*$D$19)*(1-Assumptions!$B$8))),0)))*Assumptions!$B$19))-(IF(5&lt;=Assumptions!$B$20,-(Assumptions!$B$7*$D$19)/Assumptions!$B$20,0))+(IF(5&lt;=Assumptions!$B$12,PPMT(Assumptions!$B$11,5,Assumptions!$B$12,((Assumptions!$B$7*$D$19)*(1-Assumptions!$B$8))),0))</f>
        <v>0.770616865835782</v>
      </c>
      <c r="H29" s="39" t="n">
        <f aca="false">(((((Assumptions!$B$5*8760*$B$19*(1-Assumptions!$B$16)^(6-1)/1000)*$C$19/10)+(-Assumptions!$B$17*(1+Assumptions!$B$18)^(6-1)))+IF(6&lt;=Assumptions!$B$20,-(Assumptions!$B$7*$D$19)/Assumptions!$B$20,0)+IF(6&lt;=Assumptions!$B$12,IPMT(Assumptions!$B$11,6,Assumptions!$B$12,((Assumptions!$B$7*$D$19)*(1-Assumptions!$B$8))),0))+(-MAX(0,((((Assumptions!$B$5*8760*$B$19*(1-Assumptions!$B$16)^(6-1)/1000)*$C$19/10)+(-Assumptions!$B$17*(1+Assumptions!$B$18)^(6-1)))+IF(6&lt;=Assumptions!$B$20,-(Assumptions!$B$7*$D$19)/Assumptions!$B$20,0)+IF(6&lt;=Assumptions!$B$12,IPMT(Assumptions!$B$11,6,Assumptions!$B$12,((Assumptions!$B$7*$D$19)*(1-Assumptions!$B$8))),0)))*Assumptions!$B$19))-(IF(6&lt;=Assumptions!$B$20,-(Assumptions!$B$7*$D$19)/Assumptions!$B$20,0))+(IF(6&lt;=Assumptions!$B$12,PPMT(Assumptions!$B$11,6,Assumptions!$B$12,((Assumptions!$B$7*$D$19)*(1-Assumptions!$B$8))),0))</f>
        <v>0.695337483649327</v>
      </c>
      <c r="I29" s="39" t="n">
        <f aca="false">(((((Assumptions!$B$5*8760*$B$19*(1-Assumptions!$B$16)^(7-1)/1000)*$C$19/10)+(-Assumptions!$B$17*(1+Assumptions!$B$18)^(7-1)))+IF(7&lt;=Assumptions!$B$20,-(Assumptions!$B$7*$D$19)/Assumptions!$B$20,0)+IF(7&lt;=Assumptions!$B$12,IPMT(Assumptions!$B$11,7,Assumptions!$B$12,((Assumptions!$B$7*$D$19)*(1-Assumptions!$B$8))),0))+(-MAX(0,((((Assumptions!$B$5*8760*$B$19*(1-Assumptions!$B$16)^(7-1)/1000)*$C$19/10)+(-Assumptions!$B$17*(1+Assumptions!$B$18)^(7-1)))+IF(7&lt;=Assumptions!$B$20,-(Assumptions!$B$7*$D$19)/Assumptions!$B$20,0)+IF(7&lt;=Assumptions!$B$12,IPMT(Assumptions!$B$11,7,Assumptions!$B$12,((Assumptions!$B$7*$D$19)*(1-Assumptions!$B$8))),0)))*Assumptions!$B$19))-(IF(7&lt;=Assumptions!$B$20,-(Assumptions!$B$7*$D$19)/Assumptions!$B$20,0))+(IF(7&lt;=Assumptions!$B$12,PPMT(Assumptions!$B$11,7,Assumptions!$B$12,((Assumptions!$B$7*$D$19)*(1-Assumptions!$B$8))),0))</f>
        <v>0.6160788085109</v>
      </c>
      <c r="J29" s="39" t="n">
        <f aca="false">(((((Assumptions!$B$5*8760*$B$19*(1-Assumptions!$B$16)^(8-1)/1000)*$C$19/10)+(-Assumptions!$B$17*(1+Assumptions!$B$18)^(8-1)))+IF(8&lt;=Assumptions!$B$20,-(Assumptions!$B$7*$D$19)/Assumptions!$B$20,0)+IF(8&lt;=Assumptions!$B$12,IPMT(Assumptions!$B$11,8,Assumptions!$B$12,((Assumptions!$B$7*$D$19)*(1-Assumptions!$B$8))),0))+(-MAX(0,((((Assumptions!$B$5*8760*$B$19*(1-Assumptions!$B$16)^(8-1)/1000)*$C$19/10)+(-Assumptions!$B$17*(1+Assumptions!$B$18)^(8-1)))+IF(8&lt;=Assumptions!$B$20,-(Assumptions!$B$7*$D$19)/Assumptions!$B$20,0)+IF(8&lt;=Assumptions!$B$12,IPMT(Assumptions!$B$11,8,Assumptions!$B$12,((Assumptions!$B$7*$D$19)*(1-Assumptions!$B$8))),0)))*Assumptions!$B$19))-(IF(8&lt;=Assumptions!$B$20,-(Assumptions!$B$7*$D$19)/Assumptions!$B$20,0))+(IF(8&lt;=Assumptions!$B$12,PPMT(Assumptions!$B$11,8,Assumptions!$B$12,((Assumptions!$B$7*$D$19)*(1-Assumptions!$B$8))),0))</f>
        <v>0.532518864430412</v>
      </c>
      <c r="K29" s="39" t="n">
        <f aca="false">(((((Assumptions!$B$5*8760*$B$19*(1-Assumptions!$B$16)^(9-1)/1000)*$C$19/10)+(-Assumptions!$B$17*(1+Assumptions!$B$18)^(9-1)))+IF(9&lt;=Assumptions!$B$20,-(Assumptions!$B$7*$D$19)/Assumptions!$B$20,0)+IF(9&lt;=Assumptions!$B$12,IPMT(Assumptions!$B$11,9,Assumptions!$B$12,((Assumptions!$B$7*$D$19)*(1-Assumptions!$B$8))),0))+(-MAX(0,((((Assumptions!$B$5*8760*$B$19*(1-Assumptions!$B$16)^(9-1)/1000)*$C$19/10)+(-Assumptions!$B$17*(1+Assumptions!$B$18)^(9-1)))+IF(9&lt;=Assumptions!$B$20,-(Assumptions!$B$7*$D$19)/Assumptions!$B$20,0)+IF(9&lt;=Assumptions!$B$12,IPMT(Assumptions!$B$11,9,Assumptions!$B$12,((Assumptions!$B$7*$D$19)*(1-Assumptions!$B$8))),0)))*Assumptions!$B$19))-(IF(9&lt;=Assumptions!$B$20,-(Assumptions!$B$7*$D$19)/Assumptions!$B$20,0))+(IF(9&lt;=Assumptions!$B$12,PPMT(Assumptions!$B$11,9,Assumptions!$B$12,((Assumptions!$B$7*$D$19)*(1-Assumptions!$B$8))),0))</f>
        <v>0.444309023758433</v>
      </c>
      <c r="L29" s="39" t="n">
        <f aca="false">(((((Assumptions!$B$5*8760*$B$19*(1-Assumptions!$B$16)^(10-1)/1000)*$C$19/10)+(-Assumptions!$B$17*(1+Assumptions!$B$18)^(10-1)))+IF(10&lt;=Assumptions!$B$20,-(Assumptions!$B$7*$D$19)/Assumptions!$B$20,0)+IF(10&lt;=Assumptions!$B$12,IPMT(Assumptions!$B$11,10,Assumptions!$B$12,((Assumptions!$B$7*$D$19)*(1-Assumptions!$B$8))),0))+(-MAX(0,((((Assumptions!$B$5*8760*$B$19*(1-Assumptions!$B$16)^(10-1)/1000)*$C$19/10)+(-Assumptions!$B$17*(1+Assumptions!$B$18)^(10-1)))+IF(10&lt;=Assumptions!$B$20,-(Assumptions!$B$7*$D$19)/Assumptions!$B$20,0)+IF(10&lt;=Assumptions!$B$12,IPMT(Assumptions!$B$11,10,Assumptions!$B$12,((Assumptions!$B$7*$D$19)*(1-Assumptions!$B$8))),0)))*Assumptions!$B$19))-(IF(10&lt;=Assumptions!$B$20,-(Assumptions!$B$7*$D$19)/Assumptions!$B$20,0))+(IF(10&lt;=Assumptions!$B$12,PPMT(Assumptions!$B$11,10,Assumptions!$B$12,((Assumptions!$B$7*$D$19)*(1-Assumptions!$B$8))),0))</f>
        <v>0.35107172225502</v>
      </c>
      <c r="M29" s="39" t="n">
        <f aca="false">(((((Assumptions!$B$5*8760*$B$19*(1-Assumptions!$B$16)^(11-1)/1000)*$C$19/10)+(-Assumptions!$B$17*(1+Assumptions!$B$18)^(11-1)))+IF(11&lt;=Assumptions!$B$20,-(Assumptions!$B$7*$D$19)/Assumptions!$B$20,0)+IF(11&lt;=Assumptions!$B$12,IPMT(Assumptions!$B$11,11,Assumptions!$B$12,((Assumptions!$B$7*$D$19)*(1-Assumptions!$B$8))),0))+(-MAX(0,((((Assumptions!$B$5*8760*$B$19*(1-Assumptions!$B$16)^(11-1)/1000)*$C$19/10)+(-Assumptions!$B$17*(1+Assumptions!$B$18)^(11-1)))+IF(11&lt;=Assumptions!$B$20,-(Assumptions!$B$7*$D$19)/Assumptions!$B$20,0)+IF(11&lt;=Assumptions!$B$12,IPMT(Assumptions!$B$11,11,Assumptions!$B$12,((Assumptions!$B$7*$D$19)*(1-Assumptions!$B$8))),0)))*Assumptions!$B$19))-(IF(11&lt;=Assumptions!$B$20,-(Assumptions!$B$7*$D$19)/Assumptions!$B$20,0))+(IF(11&lt;=Assumptions!$B$12,PPMT(Assumptions!$B$11,11,Assumptions!$B$12,((Assumptions!$B$7*$D$19)*(1-Assumptions!$B$8))),0))</f>
        <v>0.25239797421364</v>
      </c>
      <c r="N29" s="39" t="n">
        <f aca="false">(((((Assumptions!$B$5*8760*$B$19*(1-Assumptions!$B$16)^(12-1)/1000)*$C$19/10)+(-Assumptions!$B$17*(1+Assumptions!$B$18)^(12-1)))+IF(12&lt;=Assumptions!$B$20,-(Assumptions!$B$7*$D$19)/Assumptions!$B$20,0)+IF(12&lt;=Assumptions!$B$12,IPMT(Assumptions!$B$11,12,Assumptions!$B$12,((Assumptions!$B$7*$D$19)*(1-Assumptions!$B$8))),0))+(-MAX(0,((((Assumptions!$B$5*8760*$B$19*(1-Assumptions!$B$16)^(12-1)/1000)*$C$19/10)+(-Assumptions!$B$17*(1+Assumptions!$B$18)^(12-1)))+IF(12&lt;=Assumptions!$B$20,-(Assumptions!$B$7*$D$19)/Assumptions!$B$20,0)+IF(12&lt;=Assumptions!$B$12,IPMT(Assumptions!$B$11,12,Assumptions!$B$12,((Assumptions!$B$7*$D$19)*(1-Assumptions!$B$8))),0)))*Assumptions!$B$19))-(IF(12&lt;=Assumptions!$B$20,-(Assumptions!$B$7*$D$19)/Assumptions!$B$20,0))+(IF(12&lt;=Assumptions!$B$12,PPMT(Assumptions!$B$11,12,Assumptions!$B$12,((Assumptions!$B$7*$D$19)*(1-Assumptions!$B$8))),0))</f>
        <v>0.147844669929939</v>
      </c>
      <c r="O29" s="39" t="n">
        <f aca="false">(((((Assumptions!$B$5*8760*$B$19*(1-Assumptions!$B$16)^(13-1)/1000)*$C$19/10)+(-Assumptions!$B$17*(1+Assumptions!$B$18)^(13-1)))+IF(13&lt;=Assumptions!$B$20,-(Assumptions!$B$7*$D$19)/Assumptions!$B$20,0)+IF(13&lt;=Assumptions!$B$12,IPMT(Assumptions!$B$11,13,Assumptions!$B$12,((Assumptions!$B$7*$D$19)*(1-Assumptions!$B$8))),0))+(-MAX(0,((((Assumptions!$B$5*8760*$B$19*(1-Assumptions!$B$16)^(13-1)/1000)*$C$19/10)+(-Assumptions!$B$17*(1+Assumptions!$B$18)^(13-1)))+IF(13&lt;=Assumptions!$B$20,-(Assumptions!$B$7*$D$19)/Assumptions!$B$20,0)+IF(13&lt;=Assumptions!$B$12,IPMT(Assumptions!$B$11,13,Assumptions!$B$12,((Assumptions!$B$7*$D$19)*(1-Assumptions!$B$8))),0)))*Assumptions!$B$19))-(IF(13&lt;=Assumptions!$B$20,-(Assumptions!$B$7*$D$19)/Assumptions!$B$20,0))+(IF(13&lt;=Assumptions!$B$12,PPMT(Assumptions!$B$11,13,Assumptions!$B$12,((Assumptions!$B$7*$D$19)*(1-Assumptions!$B$8))),0))</f>
        <v>0.0369316362256131</v>
      </c>
      <c r="P29" s="39" t="n">
        <f aca="false">(((((Assumptions!$B$5*8760*$B$19*(1-Assumptions!$B$16)^(14-1)/1000)*$C$19/10)+(-Assumptions!$B$17*(1+Assumptions!$B$18)^(14-1)))+IF(14&lt;=Assumptions!$B$20,-(Assumptions!$B$7*$D$19)/Assumptions!$B$20,0)+IF(14&lt;=Assumptions!$B$12,IPMT(Assumptions!$B$11,14,Assumptions!$B$12,((Assumptions!$B$7*$D$19)*(1-Assumptions!$B$8))),0))+(-MAX(0,((((Assumptions!$B$5*8760*$B$19*(1-Assumptions!$B$16)^(14-1)/1000)*$C$19/10)+(-Assumptions!$B$17*(1+Assumptions!$B$18)^(14-1)))+IF(14&lt;=Assumptions!$B$20,-(Assumptions!$B$7*$D$19)/Assumptions!$B$20,0)+IF(14&lt;=Assumptions!$B$12,IPMT(Assumptions!$B$11,14,Assumptions!$B$12,((Assumptions!$B$7*$D$19)*(1-Assumptions!$B$8))),0)))*Assumptions!$B$19))-(IF(14&lt;=Assumptions!$B$20,-(Assumptions!$B$7*$D$19)/Assumptions!$B$20,0))+(IF(14&lt;=Assumptions!$B$12,PPMT(Assumptions!$B$11,14,Assumptions!$B$12,((Assumptions!$B$7*$D$19)*(1-Assumptions!$B$8))),0))</f>
        <v>-0.0808615609836627</v>
      </c>
      <c r="Q29" s="39" t="n">
        <f aca="false">(((((Assumptions!$B$5*8760*$B$19*(1-Assumptions!$B$16)^(15-1)/1000)*$C$19/10)+(-Assumptions!$B$17*(1+Assumptions!$B$18)^(15-1)))+IF(15&lt;=Assumptions!$B$20,-(Assumptions!$B$7*$D$19)/Assumptions!$B$20,0)+IF(15&lt;=Assumptions!$B$12,IPMT(Assumptions!$B$11,15,Assumptions!$B$12,((Assumptions!$B$7*$D$19)*(1-Assumptions!$B$8))),0))+(-MAX(0,((((Assumptions!$B$5*8760*$B$19*(1-Assumptions!$B$16)^(15-1)/1000)*$C$19/10)+(-Assumptions!$B$17*(1+Assumptions!$B$18)^(15-1)))+IF(15&lt;=Assumptions!$B$20,-(Assumptions!$B$7*$D$19)/Assumptions!$B$20,0)+IF(15&lt;=Assumptions!$B$12,IPMT(Assumptions!$B$11,15,Assumptions!$B$12,((Assumptions!$B$7*$D$19)*(1-Assumptions!$B$8))),0)))*Assumptions!$B$19))-(IF(15&lt;=Assumptions!$B$20,-(Assumptions!$B$7*$D$19)/Assumptions!$B$20,0))+(IF(15&lt;=Assumptions!$B$12,PPMT(Assumptions!$B$11,15,Assumptions!$B$12,((Assumptions!$B$7*$D$19)*(1-Assumptions!$B$8))),0))</f>
        <v>-0.206099094962455</v>
      </c>
      <c r="R29" s="39" t="n">
        <f aca="false">(((((Assumptions!$B$5*8760*$B$19*(1-Assumptions!$B$16)^(16-1)/1000)*$C$19/10)+(-Assumptions!$B$17*(1+Assumptions!$B$18)^(16-1)))+IF(16&lt;=Assumptions!$B$20,-(Assumptions!$B$7*$D$19)/Assumptions!$B$20,0)+IF(16&lt;=Assumptions!$B$12,IPMT(Assumptions!$B$11,16,Assumptions!$B$12,((Assumptions!$B$7*$D$19)*(1-Assumptions!$B$8))),0))+(-MAX(0,((((Assumptions!$B$5*8760*$B$19*(1-Assumptions!$B$16)^(16-1)/1000)*$C$19/10)+(-Assumptions!$B$17*(1+Assumptions!$B$18)^(16-1)))+IF(16&lt;=Assumptions!$B$20,-(Assumptions!$B$7*$D$19)/Assumptions!$B$20,0)+IF(16&lt;=Assumptions!$B$12,IPMT(Assumptions!$B$11,16,Assumptions!$B$12,((Assumptions!$B$7*$D$19)*(1-Assumptions!$B$8))),0)))*Assumptions!$B$19))-(IF(16&lt;=Assumptions!$B$20,-(Assumptions!$B$7*$D$19)/Assumptions!$B$20,0))+(IF(16&lt;=Assumptions!$B$12,PPMT(Assumptions!$B$11,16,Assumptions!$B$12,((Assumptions!$B$7*$D$19)*(1-Assumptions!$B$8))),0))</f>
        <v>3.40563485780477</v>
      </c>
      <c r="S29" s="39" t="n">
        <f aca="false">(((((Assumptions!$B$5*8760*$B$19*(1-Assumptions!$B$16)^(17-1)/1000)*$C$19/10)+(-Assumptions!$B$17*(1+Assumptions!$B$18)^(17-1)))+IF(17&lt;=Assumptions!$B$20,-(Assumptions!$B$7*$D$19)/Assumptions!$B$20,0)+IF(17&lt;=Assumptions!$B$12,IPMT(Assumptions!$B$11,17,Assumptions!$B$12,((Assumptions!$B$7*$D$19)*(1-Assumptions!$B$8))),0))+(-MAX(0,((((Assumptions!$B$5*8760*$B$19*(1-Assumptions!$B$16)^(17-1)/1000)*$C$19/10)+(-Assumptions!$B$17*(1+Assumptions!$B$18)^(17-1)))+IF(17&lt;=Assumptions!$B$20,-(Assumptions!$B$7*$D$19)/Assumptions!$B$20,0)+IF(17&lt;=Assumptions!$B$12,IPMT(Assumptions!$B$11,17,Assumptions!$B$12,((Assumptions!$B$7*$D$19)*(1-Assumptions!$B$8))),0)))*Assumptions!$B$19))-(IF(17&lt;=Assumptions!$B$20,-(Assumptions!$B$7*$D$19)/Assumptions!$B$20,0))+(IF(17&lt;=Assumptions!$B$12,PPMT(Assumptions!$B$11,17,Assumptions!$B$12,((Assumptions!$B$7*$D$19)*(1-Assumptions!$B$8))),0))</f>
        <v>3.34788503981538</v>
      </c>
      <c r="T29" s="39" t="n">
        <f aca="false">(((((Assumptions!$B$5*8760*$B$19*(1-Assumptions!$B$16)^(18-1)/1000)*$C$19/10)+(-Assumptions!$B$17*(1+Assumptions!$B$18)^(18-1)))+IF(18&lt;=Assumptions!$B$20,-(Assumptions!$B$7*$D$19)/Assumptions!$B$20,0)+IF(18&lt;=Assumptions!$B$12,IPMT(Assumptions!$B$11,18,Assumptions!$B$12,((Assumptions!$B$7*$D$19)*(1-Assumptions!$B$8))),0))+(-MAX(0,((((Assumptions!$B$5*8760*$B$19*(1-Assumptions!$B$16)^(18-1)/1000)*$C$19/10)+(-Assumptions!$B$17*(1+Assumptions!$B$18)^(18-1)))+IF(18&lt;=Assumptions!$B$20,-(Assumptions!$B$7*$D$19)/Assumptions!$B$20,0)+IF(18&lt;=Assumptions!$B$12,IPMT(Assumptions!$B$11,18,Assumptions!$B$12,((Assumptions!$B$7*$D$19)*(1-Assumptions!$B$8))),0)))*Assumptions!$B$19))-(IF(18&lt;=Assumptions!$B$20,-(Assumptions!$B$7*$D$19)/Assumptions!$B$20,0))+(IF(18&lt;=Assumptions!$B$12,PPMT(Assumptions!$B$11,18,Assumptions!$B$12,((Assumptions!$B$7*$D$19)*(1-Assumptions!$B$8))),0))</f>
        <v>3.28828007623093</v>
      </c>
      <c r="U29" s="39" t="n">
        <f aca="false">(((((Assumptions!$B$5*8760*$B$19*(1-Assumptions!$B$16)^(19-1)/1000)*$C$19/10)+(-Assumptions!$B$17*(1+Assumptions!$B$18)^(19-1)))+IF(19&lt;=Assumptions!$B$20,-(Assumptions!$B$7*$D$19)/Assumptions!$B$20,0)+IF(19&lt;=Assumptions!$B$12,IPMT(Assumptions!$B$11,19,Assumptions!$B$12,((Assumptions!$B$7*$D$19)*(1-Assumptions!$B$8))),0))+(-MAX(0,((((Assumptions!$B$5*8760*$B$19*(1-Assumptions!$B$16)^(19-1)/1000)*$C$19/10)+(-Assumptions!$B$17*(1+Assumptions!$B$18)^(19-1)))+IF(19&lt;=Assumptions!$B$20,-(Assumptions!$B$7*$D$19)/Assumptions!$B$20,0)+IF(19&lt;=Assumptions!$B$12,IPMT(Assumptions!$B$11,19,Assumptions!$B$12,((Assumptions!$B$7*$D$19)*(1-Assumptions!$B$8))),0)))*Assumptions!$B$19))-(IF(19&lt;=Assumptions!$B$20,-(Assumptions!$B$7*$D$19)/Assumptions!$B$20,0))+(IF(19&lt;=Assumptions!$B$12,PPMT(Assumptions!$B$11,19,Assumptions!$B$12,((Assumptions!$B$7*$D$19)*(1-Assumptions!$B$8))),0))</f>
        <v>3.22672204804513</v>
      </c>
      <c r="V29" s="39" t="n">
        <f aca="false">(((((Assumptions!$B$5*8760*$B$19*(1-Assumptions!$B$16)^(20-1)/1000)*$C$19/10)+(-Assumptions!$B$17*(1+Assumptions!$B$18)^(20-1)))+IF(20&lt;=Assumptions!$B$20,-(Assumptions!$B$7*$D$19)/Assumptions!$B$20,0)+IF(20&lt;=Assumptions!$B$12,IPMT(Assumptions!$B$11,20,Assumptions!$B$12,((Assumptions!$B$7*$D$19)*(1-Assumptions!$B$8))),0))+(-MAX(0,((((Assumptions!$B$5*8760*$B$19*(1-Assumptions!$B$16)^(20-1)/1000)*$C$19/10)+(-Assumptions!$B$17*(1+Assumptions!$B$18)^(20-1)))+IF(20&lt;=Assumptions!$B$20,-(Assumptions!$B$7*$D$19)/Assumptions!$B$20,0)+IF(20&lt;=Assumptions!$B$12,IPMT(Assumptions!$B$11,20,Assumptions!$B$12,((Assumptions!$B$7*$D$19)*(1-Assumptions!$B$8))),0)))*Assumptions!$B$19))-(IF(20&lt;=Assumptions!$B$20,-(Assumptions!$B$7*$D$19)/Assumptions!$B$20,0))+(IF(20&lt;=Assumptions!$B$12,PPMT(Assumptions!$B$11,20,Assumptions!$B$12,((Assumptions!$B$7*$D$19)*(1-Assumptions!$B$8))),0))</f>
        <v>3.16310816611002</v>
      </c>
      <c r="W29" s="39" t="n">
        <f aca="false">(((((Assumptions!$B$5*8760*$B$19*(1-Assumptions!$B$16)^(21-1)/1000)*$C$19/10)+(-Assumptions!$B$17*(1+Assumptions!$B$18)^(21-1)))+IF(21&lt;=Assumptions!$B$20,-(Assumptions!$B$7*$D$19)/Assumptions!$B$20,0)+IF(21&lt;=Assumptions!$B$12,IPMT(Assumptions!$B$11,21,Assumptions!$B$12,((Assumptions!$B$7*$D$19)*(1-Assumptions!$B$8))),0))+(-MAX(0,((((Assumptions!$B$5*8760*$B$19*(1-Assumptions!$B$16)^(21-1)/1000)*$C$19/10)+(-Assumptions!$B$17*(1+Assumptions!$B$18)^(21-1)))+IF(21&lt;=Assumptions!$B$20,-(Assumptions!$B$7*$D$19)/Assumptions!$B$20,0)+IF(21&lt;=Assumptions!$B$12,IPMT(Assumptions!$B$11,21,Assumptions!$B$12,((Assumptions!$B$7*$D$19)*(1-Assumptions!$B$8))),0)))*Assumptions!$B$19))-(IF(21&lt;=Assumptions!$B$20,-(Assumptions!$B$7*$D$19)/Assumptions!$B$20,0))+(IF(21&lt;=Assumptions!$B$12,PPMT(Assumptions!$B$11,21,Assumptions!$B$12,((Assumptions!$B$7*$D$19)*(1-Assumptions!$B$8))),0))</f>
        <v>3.09733052749985</v>
      </c>
      <c r="X29" s="39" t="n">
        <f aca="false">(((((Assumptions!$B$5*8760*$B$19*(1-Assumptions!$B$16)^(22-1)/1000)*$C$19/10)+(-Assumptions!$B$17*(1+Assumptions!$B$18)^(22-1)))+IF(22&lt;=Assumptions!$B$20,-(Assumptions!$B$7*$D$19)/Assumptions!$B$20,0)+IF(22&lt;=Assumptions!$B$12,IPMT(Assumptions!$B$11,22,Assumptions!$B$12,((Assumptions!$B$7*$D$19)*(1-Assumptions!$B$8))),0))+(-MAX(0,((((Assumptions!$B$5*8760*$B$19*(1-Assumptions!$B$16)^(22-1)/1000)*$C$19/10)+(-Assumptions!$B$17*(1+Assumptions!$B$18)^(22-1)))+IF(22&lt;=Assumptions!$B$20,-(Assumptions!$B$7*$D$19)/Assumptions!$B$20,0)+IF(22&lt;=Assumptions!$B$12,IPMT(Assumptions!$B$11,22,Assumptions!$B$12,((Assumptions!$B$7*$D$19)*(1-Assumptions!$B$8))),0)))*Assumptions!$B$19))-(IF(22&lt;=Assumptions!$B$20,-(Assumptions!$B$7*$D$19)/Assumptions!$B$20,0))+(IF(22&lt;=Assumptions!$B$12,PPMT(Assumptions!$B$11,22,Assumptions!$B$12,((Assumptions!$B$7*$D$19)*(1-Assumptions!$B$8))),0))</f>
        <v>3.02927585969375</v>
      </c>
      <c r="Y29" s="39" t="n">
        <f aca="false">(((((Assumptions!$B$5*8760*$B$19*(1-Assumptions!$B$16)^(23-1)/1000)*$C$19/10)+(-Assumptions!$B$17*(1+Assumptions!$B$18)^(23-1)))+IF(23&lt;=Assumptions!$B$20,-(Assumptions!$B$7*$D$19)/Assumptions!$B$20,0)+IF(23&lt;=Assumptions!$B$12,IPMT(Assumptions!$B$11,23,Assumptions!$B$12,((Assumptions!$B$7*$D$19)*(1-Assumptions!$B$8))),0))+(-MAX(0,((((Assumptions!$B$5*8760*$B$19*(1-Assumptions!$B$16)^(23-1)/1000)*$C$19/10)+(-Assumptions!$B$17*(1+Assumptions!$B$18)^(23-1)))+IF(23&lt;=Assumptions!$B$20,-(Assumptions!$B$7*$D$19)/Assumptions!$B$20,0)+IF(23&lt;=Assumptions!$B$12,IPMT(Assumptions!$B$11,23,Assumptions!$B$12,((Assumptions!$B$7*$D$19)*(1-Assumptions!$B$8))),0)))*Assumptions!$B$19))-(IF(23&lt;=Assumptions!$B$20,-(Assumptions!$B$7*$D$19)/Assumptions!$B$20,0))+(IF(23&lt;=Assumptions!$B$12,PPMT(Assumptions!$B$11,23,Assumptions!$B$12,((Assumptions!$B$7*$D$19)*(1-Assumptions!$B$8))),0))</f>
        <v>2.95882525196825</v>
      </c>
      <c r="Z29" s="39" t="n">
        <f aca="false">(((((Assumptions!$B$5*8760*$B$19*(1-Assumptions!$B$16)^(24-1)/1000)*$C$19/10)+(-Assumptions!$B$17*(1+Assumptions!$B$18)^(24-1)))+IF(24&lt;=Assumptions!$B$20,-(Assumptions!$B$7*$D$19)/Assumptions!$B$20,0)+IF(24&lt;=Assumptions!$B$12,IPMT(Assumptions!$B$11,24,Assumptions!$B$12,((Assumptions!$B$7*$D$19)*(1-Assumptions!$B$8))),0))+(-MAX(0,((((Assumptions!$B$5*8760*$B$19*(1-Assumptions!$B$16)^(24-1)/1000)*$C$19/10)+(-Assumptions!$B$17*(1+Assumptions!$B$18)^(24-1)))+IF(24&lt;=Assumptions!$B$20,-(Assumptions!$B$7*$D$19)/Assumptions!$B$20,0)+IF(24&lt;=Assumptions!$B$12,IPMT(Assumptions!$B$11,24,Assumptions!$B$12,((Assumptions!$B$7*$D$19)*(1-Assumptions!$B$8))),0)))*Assumptions!$B$19))-(IF(24&lt;=Assumptions!$B$20,-(Assumptions!$B$7*$D$19)/Assumptions!$B$20,0))+(IF(24&lt;=Assumptions!$B$12,PPMT(Assumptions!$B$11,24,Assumptions!$B$12,((Assumptions!$B$7*$D$19)*(1-Assumptions!$B$8))),0))</f>
        <v>2.88585387336002</v>
      </c>
      <c r="AA29" s="39" t="n">
        <f aca="false">(((((Assumptions!$B$5*8760*$B$19*(1-Assumptions!$B$16)^(25-1)/1000)*$C$19/10)+(-Assumptions!$B$17*(1+Assumptions!$B$18)^(25-1)))+IF(25&lt;=Assumptions!$B$20,-(Assumptions!$B$7*$D$19)/Assumptions!$B$20,0)+IF(25&lt;=Assumptions!$B$12,IPMT(Assumptions!$B$11,25,Assumptions!$B$12,((Assumptions!$B$7*$D$19)*(1-Assumptions!$B$8))),0))+(-MAX(0,((((Assumptions!$B$5*8760*$B$19*(1-Assumptions!$B$16)^(25-1)/1000)*$C$19/10)+(-Assumptions!$B$17*(1+Assumptions!$B$18)^(25-1)))+IF(25&lt;=Assumptions!$B$20,-(Assumptions!$B$7*$D$19)/Assumptions!$B$20,0)+IF(25&lt;=Assumptions!$B$12,IPMT(Assumptions!$B$11,25,Assumptions!$B$12,((Assumptions!$B$7*$D$19)*(1-Assumptions!$B$8))),0)))*Assumptions!$B$19))-(IF(25&lt;=Assumptions!$B$20,-(Assumptions!$B$7*$D$19)/Assumptions!$B$20,0))+(IF(25&lt;=Assumptions!$B$12,PPMT(Assumptions!$B$11,25,Assumptions!$B$12,((Assumptions!$B$7*$D$19)*(1-Assumptions!$B$8))),0))</f>
        <v>2.81023067652741</v>
      </c>
    </row>
    <row r="30" customFormat="false" ht="15" hidden="false" customHeight="false" outlineLevel="0" collapsed="false">
      <c r="A30" s="37" t="s">
        <v>28</v>
      </c>
      <c r="B30" s="39" t="n">
        <f aca="false">-((Assumptions!$B$7*$D$20)*Assumptions!$B$8)</f>
        <v>-12.9375</v>
      </c>
      <c r="C30" s="39" t="n">
        <f aca="false">(((((Assumptions!$B$5*8760*$B$20*(1-Assumptions!$B$16)^(1-1)/1000)*$C$20/10)+(-Assumptions!$B$17*(1+Assumptions!$B$18)^(1-1)))+IF(1&lt;=Assumptions!$B$20,-(Assumptions!$B$7*$D$20)/Assumptions!$B$20,0)+IF(1&lt;=Assumptions!$B$12,IPMT(Assumptions!$B$11,1,Assumptions!$B$12,((Assumptions!$B$7*$D$20)*(1-Assumptions!$B$8))),0))+(-MAX(0,((((Assumptions!$B$5*8760*$B$20*(1-Assumptions!$B$16)^(1-1)/1000)*$C$20/10)+(-Assumptions!$B$17*(1+Assumptions!$B$18)^(1-1)))+IF(1&lt;=Assumptions!$B$20,-(Assumptions!$B$7*$D$20)/Assumptions!$B$20,0)+IF(1&lt;=Assumptions!$B$12,IPMT(Assumptions!$B$11,1,Assumptions!$B$12,((Assumptions!$B$7*$D$20)*(1-Assumptions!$B$8))),0)))*Assumptions!$B$19))-(IF(1&lt;=Assumptions!$B$20,-(Assumptions!$B$7*$D$20)/Assumptions!$B$20,0))+(IF(1&lt;=Assumptions!$B$12,PPMT(Assumptions!$B$11,1,Assumptions!$B$12,((Assumptions!$B$7*$D$20)*(1-Assumptions!$B$8))),0))</f>
        <v>-0.271491520006236</v>
      </c>
      <c r="D30" s="39" t="n">
        <f aca="false">(((((Assumptions!$B$5*8760*$B$20*(1-Assumptions!$B$16)^(2-1)/1000)*$C$20/10)+(-Assumptions!$B$17*(1+Assumptions!$B$18)^(2-1)))+IF(2&lt;=Assumptions!$B$20,-(Assumptions!$B$7*$D$20)/Assumptions!$B$20,0)+IF(2&lt;=Assumptions!$B$12,IPMT(Assumptions!$B$11,2,Assumptions!$B$12,((Assumptions!$B$7*$D$20)*(1-Assumptions!$B$8))),0))+(-MAX(0,((((Assumptions!$B$5*8760*$B$20*(1-Assumptions!$B$16)^(2-1)/1000)*$C$20/10)+(-Assumptions!$B$17*(1+Assumptions!$B$18)^(2-1)))+IF(2&lt;=Assumptions!$B$20,-(Assumptions!$B$7*$D$20)/Assumptions!$B$20,0)+IF(2&lt;=Assumptions!$B$12,IPMT(Assumptions!$B$11,2,Assumptions!$B$12,((Assumptions!$B$7*$D$20)*(1-Assumptions!$B$8))),0)))*Assumptions!$B$19))-(IF(2&lt;=Assumptions!$B$20,-(Assumptions!$B$7*$D$20)/Assumptions!$B$20,0))+(IF(2&lt;=Assumptions!$B$12,PPMT(Assumptions!$B$11,2,Assumptions!$B$12,((Assumptions!$B$7*$D$20)*(1-Assumptions!$B$8))),0))</f>
        <v>-0.316359200006236</v>
      </c>
      <c r="E30" s="39" t="n">
        <f aca="false">(((((Assumptions!$B$5*8760*$B$20*(1-Assumptions!$B$16)^(3-1)/1000)*$C$20/10)+(-Assumptions!$B$17*(1+Assumptions!$B$18)^(3-1)))+IF(3&lt;=Assumptions!$B$20,-(Assumptions!$B$7*$D$20)/Assumptions!$B$20,0)+IF(3&lt;=Assumptions!$B$12,IPMT(Assumptions!$B$11,3,Assumptions!$B$12,((Assumptions!$B$7*$D$20)*(1-Assumptions!$B$8))),0))+(-MAX(0,((((Assumptions!$B$5*8760*$B$20*(1-Assumptions!$B$16)^(3-1)/1000)*$C$20/10)+(-Assumptions!$B$17*(1+Assumptions!$B$18)^(3-1)))+IF(3&lt;=Assumptions!$B$20,-(Assumptions!$B$7*$D$20)/Assumptions!$B$20,0)+IF(3&lt;=Assumptions!$B$12,IPMT(Assumptions!$B$11,3,Assumptions!$B$12,((Assumptions!$B$7*$D$20)*(1-Assumptions!$B$8))),0)))*Assumptions!$B$19))-(IF(3&lt;=Assumptions!$B$20,-(Assumptions!$B$7*$D$20)/Assumptions!$B$20,0))+(IF(3&lt;=Assumptions!$B$12,PPMT(Assumptions!$B$11,3,Assumptions!$B$12,((Assumptions!$B$7*$D$20)*(1-Assumptions!$B$8))),0))</f>
        <v>-0.362377541606235</v>
      </c>
      <c r="F30" s="39" t="n">
        <f aca="false">(((((Assumptions!$B$5*8760*$B$20*(1-Assumptions!$B$16)^(4-1)/1000)*$C$20/10)+(-Assumptions!$B$17*(1+Assumptions!$B$18)^(4-1)))+IF(4&lt;=Assumptions!$B$20,-(Assumptions!$B$7*$D$20)/Assumptions!$B$20,0)+IF(4&lt;=Assumptions!$B$12,IPMT(Assumptions!$B$11,4,Assumptions!$B$12,((Assumptions!$B$7*$D$20)*(1-Assumptions!$B$8))),0))+(-MAX(0,((((Assumptions!$B$5*8760*$B$20*(1-Assumptions!$B$16)^(4-1)/1000)*$C$20/10)+(-Assumptions!$B$17*(1+Assumptions!$B$18)^(4-1)))+IF(4&lt;=Assumptions!$B$20,-(Assumptions!$B$7*$D$20)/Assumptions!$B$20,0)+IF(4&lt;=Assumptions!$B$12,IPMT(Assumptions!$B$11,4,Assumptions!$B$12,((Assumptions!$B$7*$D$20)*(1-Assumptions!$B$8))),0)))*Assumptions!$B$19))-(IF(4&lt;=Assumptions!$B$20,-(Assumptions!$B$7*$D$20)/Assumptions!$B$20,0))+(IF(4&lt;=Assumptions!$B$12,PPMT(Assumptions!$B$11,4,Assumptions!$B$12,((Assumptions!$B$7*$D$20)*(1-Assumptions!$B$8))),0))</f>
        <v>-0.409609541498236</v>
      </c>
      <c r="G30" s="39" t="n">
        <f aca="false">(((((Assumptions!$B$5*8760*$B$20*(1-Assumptions!$B$16)^(5-1)/1000)*$C$20/10)+(-Assumptions!$B$17*(1+Assumptions!$B$18)^(5-1)))+IF(5&lt;=Assumptions!$B$20,-(Assumptions!$B$7*$D$20)/Assumptions!$B$20,0)+IF(5&lt;=Assumptions!$B$12,IPMT(Assumptions!$B$11,5,Assumptions!$B$12,((Assumptions!$B$7*$D$20)*(1-Assumptions!$B$8))),0))+(-MAX(0,((((Assumptions!$B$5*8760*$B$20*(1-Assumptions!$B$16)^(5-1)/1000)*$C$20/10)+(-Assumptions!$B$17*(1+Assumptions!$B$18)^(5-1)))+IF(5&lt;=Assumptions!$B$20,-(Assumptions!$B$7*$D$20)/Assumptions!$B$20,0)+IF(5&lt;=Assumptions!$B$12,IPMT(Assumptions!$B$11,5,Assumptions!$B$12,((Assumptions!$B$7*$D$20)*(1-Assumptions!$B$8))),0)))*Assumptions!$B$19))-(IF(5&lt;=Assumptions!$B$20,-(Assumptions!$B$7*$D$20)/Assumptions!$B$20,0))+(IF(5&lt;=Assumptions!$B$12,PPMT(Assumptions!$B$11,5,Assumptions!$B$12,((Assumptions!$B$7*$D$20)*(1-Assumptions!$B$8))),0))</f>
        <v>-0.458121318890775</v>
      </c>
      <c r="H30" s="39" t="n">
        <f aca="false">(((((Assumptions!$B$5*8760*$B$20*(1-Assumptions!$B$16)^(6-1)/1000)*$C$20/10)+(-Assumptions!$B$17*(1+Assumptions!$B$18)^(6-1)))+IF(6&lt;=Assumptions!$B$20,-(Assumptions!$B$7*$D$20)/Assumptions!$B$20,0)+IF(6&lt;=Assumptions!$B$12,IPMT(Assumptions!$B$11,6,Assumptions!$B$12,((Assumptions!$B$7*$D$20)*(1-Assumptions!$B$8))),0))+(-MAX(0,((((Assumptions!$B$5*8760*$B$20*(1-Assumptions!$B$16)^(6-1)/1000)*$C$20/10)+(-Assumptions!$B$17*(1+Assumptions!$B$18)^(6-1)))+IF(6&lt;=Assumptions!$B$20,-(Assumptions!$B$7*$D$20)/Assumptions!$B$20,0)+IF(6&lt;=Assumptions!$B$12,IPMT(Assumptions!$B$11,6,Assumptions!$B$12,((Assumptions!$B$7*$D$20)*(1-Assumptions!$B$8))),0)))*Assumptions!$B$19))-(IF(6&lt;=Assumptions!$B$20,-(Assumptions!$B$7*$D$20)/Assumptions!$B$20,0))+(IF(6&lt;=Assumptions!$B$12,PPMT(Assumptions!$B$11,6,Assumptions!$B$12,((Assumptions!$B$7*$D$20)*(1-Assumptions!$B$8))),0))</f>
        <v>-0.507982271771354</v>
      </c>
      <c r="I30" s="39" t="n">
        <f aca="false">(((((Assumptions!$B$5*8760*$B$20*(1-Assumptions!$B$16)^(7-1)/1000)*$C$20/10)+(-Assumptions!$B$17*(1+Assumptions!$B$18)^(7-1)))+IF(7&lt;=Assumptions!$B$20,-(Assumptions!$B$7*$D$20)/Assumptions!$B$20,0)+IF(7&lt;=Assumptions!$B$12,IPMT(Assumptions!$B$11,7,Assumptions!$B$12,((Assumptions!$B$7*$D$20)*(1-Assumptions!$B$8))),0))+(-MAX(0,((((Assumptions!$B$5*8760*$B$20*(1-Assumptions!$B$16)^(7-1)/1000)*$C$20/10)+(-Assumptions!$B$17*(1+Assumptions!$B$18)^(7-1)))+IF(7&lt;=Assumptions!$B$20,-(Assumptions!$B$7*$D$20)/Assumptions!$B$20,0)+IF(7&lt;=Assumptions!$B$12,IPMT(Assumptions!$B$11,7,Assumptions!$B$12,((Assumptions!$B$7*$D$20)*(1-Assumptions!$B$8))),0)))*Assumptions!$B$19))-(IF(7&lt;=Assumptions!$B$20,-(Assumptions!$B$7*$D$20)/Assumptions!$B$20,0))+(IF(7&lt;=Assumptions!$B$12,PPMT(Assumptions!$B$11,7,Assumptions!$B$12,((Assumptions!$B$7*$D$20)*(1-Assumptions!$B$8))),0))</f>
        <v>-0.559265240981278</v>
      </c>
      <c r="J30" s="39" t="n">
        <f aca="false">(((((Assumptions!$B$5*8760*$B$20*(1-Assumptions!$B$16)^(8-1)/1000)*$C$20/10)+(-Assumptions!$B$17*(1+Assumptions!$B$18)^(8-1)))+IF(8&lt;=Assumptions!$B$20,-(Assumptions!$B$7*$D$20)/Assumptions!$B$20,0)+IF(8&lt;=Assumptions!$B$12,IPMT(Assumptions!$B$11,8,Assumptions!$B$12,((Assumptions!$B$7*$D$20)*(1-Assumptions!$B$8))),0))+(-MAX(0,((((Assumptions!$B$5*8760*$B$20*(1-Assumptions!$B$16)^(8-1)/1000)*$C$20/10)+(-Assumptions!$B$17*(1+Assumptions!$B$18)^(8-1)))+IF(8&lt;=Assumptions!$B$20,-(Assumptions!$B$7*$D$20)/Assumptions!$B$20,0)+IF(8&lt;=Assumptions!$B$12,IPMT(Assumptions!$B$11,8,Assumptions!$B$12,((Assumptions!$B$7*$D$20)*(1-Assumptions!$B$8))),0)))*Assumptions!$B$19))-(IF(8&lt;=Assumptions!$B$20,-(Assumptions!$B$7*$D$20)/Assumptions!$B$20,0))+(IF(8&lt;=Assumptions!$B$12,PPMT(Assumptions!$B$11,8,Assumptions!$B$12,((Assumptions!$B$7*$D$20)*(1-Assumptions!$B$8))),0))</f>
        <v>-0.61204668249359</v>
      </c>
      <c r="K30" s="39" t="n">
        <f aca="false">(((((Assumptions!$B$5*8760*$B$20*(1-Assumptions!$B$16)^(9-1)/1000)*$C$20/10)+(-Assumptions!$B$17*(1+Assumptions!$B$18)^(9-1)))+IF(9&lt;=Assumptions!$B$20,-(Assumptions!$B$7*$D$20)/Assumptions!$B$20,0)+IF(9&lt;=Assumptions!$B$12,IPMT(Assumptions!$B$11,9,Assumptions!$B$12,((Assumptions!$B$7*$D$20)*(1-Assumptions!$B$8))),0))+(-MAX(0,((((Assumptions!$B$5*8760*$B$20*(1-Assumptions!$B$16)^(9-1)/1000)*$C$20/10)+(-Assumptions!$B$17*(1+Assumptions!$B$18)^(9-1)))+IF(9&lt;=Assumptions!$B$20,-(Assumptions!$B$7*$D$20)/Assumptions!$B$20,0)+IF(9&lt;=Assumptions!$B$12,IPMT(Assumptions!$B$11,9,Assumptions!$B$12,((Assumptions!$B$7*$D$20)*(1-Assumptions!$B$8))),0)))*Assumptions!$B$19))-(IF(9&lt;=Assumptions!$B$20,-(Assumptions!$B$7*$D$20)/Assumptions!$B$20,0))+(IF(9&lt;=Assumptions!$B$12,PPMT(Assumptions!$B$11,9,Assumptions!$B$12,((Assumptions!$B$7*$D$20)*(1-Assumptions!$B$8))),0))</f>
        <v>-0.666406848304201</v>
      </c>
      <c r="L30" s="39" t="n">
        <f aca="false">(((((Assumptions!$B$5*8760*$B$20*(1-Assumptions!$B$16)^(10-1)/1000)*$C$20/10)+(-Assumptions!$B$17*(1+Assumptions!$B$18)^(10-1)))+IF(10&lt;=Assumptions!$B$20,-(Assumptions!$B$7*$D$20)/Assumptions!$B$20,0)+IF(10&lt;=Assumptions!$B$12,IPMT(Assumptions!$B$11,10,Assumptions!$B$12,((Assumptions!$B$7*$D$20)*(1-Assumptions!$B$8))),0))+(-MAX(0,((((Assumptions!$B$5*8760*$B$20*(1-Assumptions!$B$16)^(10-1)/1000)*$C$20/10)+(-Assumptions!$B$17*(1+Assumptions!$B$18)^(10-1)))+IF(10&lt;=Assumptions!$B$20,-(Assumptions!$B$7*$D$20)/Assumptions!$B$20,0)+IF(10&lt;=Assumptions!$B$12,IPMT(Assumptions!$B$11,10,Assumptions!$B$12,((Assumptions!$B$7*$D$20)*(1-Assumptions!$B$8))),0)))*Assumptions!$B$19))-(IF(10&lt;=Assumptions!$B$20,-(Assumptions!$B$7*$D$20)/Assumptions!$B$20,0))+(IF(10&lt;=Assumptions!$B$12,PPMT(Assumptions!$B$11,10,Assumptions!$B$12,((Assumptions!$B$7*$D$20)*(1-Assumptions!$B$8))),0))</f>
        <v>-0.72242997636691</v>
      </c>
      <c r="M30" s="39" t="n">
        <f aca="false">(((((Assumptions!$B$5*8760*$B$20*(1-Assumptions!$B$16)^(11-1)/1000)*$C$20/10)+(-Assumptions!$B$17*(1+Assumptions!$B$18)^(11-1)))+IF(11&lt;=Assumptions!$B$20,-(Assumptions!$B$7*$D$20)/Assumptions!$B$20,0)+IF(11&lt;=Assumptions!$B$12,IPMT(Assumptions!$B$11,11,Assumptions!$B$12,((Assumptions!$B$7*$D$20)*(1-Assumptions!$B$8))),0))+(-MAX(0,((((Assumptions!$B$5*8760*$B$20*(1-Assumptions!$B$16)^(11-1)/1000)*$C$20/10)+(-Assumptions!$B$17*(1+Assumptions!$B$18)^(11-1)))+IF(11&lt;=Assumptions!$B$20,-(Assumptions!$B$7*$D$20)/Assumptions!$B$20,0)+IF(11&lt;=Assumptions!$B$12,IPMT(Assumptions!$B$11,11,Assumptions!$B$12,((Assumptions!$B$7*$D$20)*(1-Assumptions!$B$8))),0)))*Assumptions!$B$19))-(IF(11&lt;=Assumptions!$B$20,-(Assumptions!$B$7*$D$20)/Assumptions!$B$20,0))+(IF(11&lt;=Assumptions!$B$12,PPMT(Assumptions!$B$11,11,Assumptions!$B$12,((Assumptions!$B$7*$D$20)*(1-Assumptions!$B$8))),0))</f>
        <v>-0.780204490024516</v>
      </c>
      <c r="N30" s="39" t="n">
        <f aca="false">(((((Assumptions!$B$5*8760*$B$20*(1-Assumptions!$B$16)^(12-1)/1000)*$C$20/10)+(-Assumptions!$B$17*(1+Assumptions!$B$18)^(12-1)))+IF(12&lt;=Assumptions!$B$20,-(Assumptions!$B$7*$D$20)/Assumptions!$B$20,0)+IF(12&lt;=Assumptions!$B$12,IPMT(Assumptions!$B$11,12,Assumptions!$B$12,((Assumptions!$B$7*$D$20)*(1-Assumptions!$B$8))),0))+(-MAX(0,((((Assumptions!$B$5*8760*$B$20*(1-Assumptions!$B$16)^(12-1)/1000)*$C$20/10)+(-Assumptions!$B$17*(1+Assumptions!$B$18)^(12-1)))+IF(12&lt;=Assumptions!$B$20,-(Assumptions!$B$7*$D$20)/Assumptions!$B$20,0)+IF(12&lt;=Assumptions!$B$12,IPMT(Assumptions!$B$11,12,Assumptions!$B$12,((Assumptions!$B$7*$D$20)*(1-Assumptions!$B$8))),0)))*Assumptions!$B$19))-(IF(12&lt;=Assumptions!$B$20,-(Assumptions!$B$7*$D$20)/Assumptions!$B$20,0))+(IF(12&lt;=Assumptions!$B$12,PPMT(Assumptions!$B$11,12,Assumptions!$B$12,((Assumptions!$B$7*$D$20)*(1-Assumptions!$B$8))),0))</f>
        <v>-0.86188538338445</v>
      </c>
      <c r="O30" s="39" t="n">
        <f aca="false">(((((Assumptions!$B$5*8760*$B$20*(1-Assumptions!$B$16)^(13-1)/1000)*$C$20/10)+(-Assumptions!$B$17*(1+Assumptions!$B$18)^(13-1)))+IF(13&lt;=Assumptions!$B$20,-(Assumptions!$B$7*$D$20)/Assumptions!$B$20,0)+IF(13&lt;=Assumptions!$B$12,IPMT(Assumptions!$B$11,13,Assumptions!$B$12,((Assumptions!$B$7*$D$20)*(1-Assumptions!$B$8))),0))+(-MAX(0,((((Assumptions!$B$5*8760*$B$20*(1-Assumptions!$B$16)^(13-1)/1000)*$C$20/10)+(-Assumptions!$B$17*(1+Assumptions!$B$18)^(13-1)))+IF(13&lt;=Assumptions!$B$20,-(Assumptions!$B$7*$D$20)/Assumptions!$B$20,0)+IF(13&lt;=Assumptions!$B$12,IPMT(Assumptions!$B$11,13,Assumptions!$B$12,((Assumptions!$B$7*$D$20)*(1-Assumptions!$B$8))),0)))*Assumptions!$B$19))-(IF(13&lt;=Assumptions!$B$20,-(Assumptions!$B$7*$D$20)/Assumptions!$B$20,0))+(IF(13&lt;=Assumptions!$B$12,PPMT(Assumptions!$B$11,13,Assumptions!$B$12,((Assumptions!$B$7*$D$20)*(1-Assumptions!$B$8))),0))</f>
        <v>-0.967749766822204</v>
      </c>
      <c r="P30" s="39" t="n">
        <f aca="false">(((((Assumptions!$B$5*8760*$B$20*(1-Assumptions!$B$16)^(14-1)/1000)*$C$20/10)+(-Assumptions!$B$17*(1+Assumptions!$B$18)^(14-1)))+IF(14&lt;=Assumptions!$B$20,-(Assumptions!$B$7*$D$20)/Assumptions!$B$20,0)+IF(14&lt;=Assumptions!$B$12,IPMT(Assumptions!$B$11,14,Assumptions!$B$12,((Assumptions!$B$7*$D$20)*(1-Assumptions!$B$8))),0))+(-MAX(0,((((Assumptions!$B$5*8760*$B$20*(1-Assumptions!$B$16)^(14-1)/1000)*$C$20/10)+(-Assumptions!$B$17*(1+Assumptions!$B$18)^(14-1)))+IF(14&lt;=Assumptions!$B$20,-(Assumptions!$B$7*$D$20)/Assumptions!$B$20,0)+IF(14&lt;=Assumptions!$B$12,IPMT(Assumptions!$B$11,14,Assumptions!$B$12,((Assumptions!$B$7*$D$20)*(1-Assumptions!$B$8))),0)))*Assumptions!$B$19))-(IF(14&lt;=Assumptions!$B$20,-(Assumptions!$B$7*$D$20)/Assumptions!$B$20,0))+(IF(14&lt;=Assumptions!$B$12,PPMT(Assumptions!$B$11,14,Assumptions!$B$12,((Assumptions!$B$7*$D$20)*(1-Assumptions!$B$8))),0))</f>
        <v>-1.08051955701624</v>
      </c>
      <c r="Q30" s="39" t="n">
        <f aca="false">(((((Assumptions!$B$5*8760*$B$20*(1-Assumptions!$B$16)^(15-1)/1000)*$C$20/10)+(-Assumptions!$B$17*(1+Assumptions!$B$18)^(15-1)))+IF(15&lt;=Assumptions!$B$20,-(Assumptions!$B$7*$D$20)/Assumptions!$B$20,0)+IF(15&lt;=Assumptions!$B$12,IPMT(Assumptions!$B$11,15,Assumptions!$B$12,((Assumptions!$B$7*$D$20)*(1-Assumptions!$B$8))),0))+(-MAX(0,((((Assumptions!$B$5*8760*$B$20*(1-Assumptions!$B$16)^(15-1)/1000)*$C$20/10)+(-Assumptions!$B$17*(1+Assumptions!$B$18)^(15-1)))+IF(15&lt;=Assumptions!$B$20,-(Assumptions!$B$7*$D$20)/Assumptions!$B$20,0)+IF(15&lt;=Assumptions!$B$12,IPMT(Assumptions!$B$11,15,Assumptions!$B$12,((Assumptions!$B$7*$D$20)*(1-Assumptions!$B$8))),0)))*Assumptions!$B$19))-(IF(15&lt;=Assumptions!$B$20,-(Assumptions!$B$7*$D$20)/Assumptions!$B$20,0))+(IF(15&lt;=Assumptions!$B$12,PPMT(Assumptions!$B$11,15,Assumptions!$B$12,((Assumptions!$B$7*$D$20)*(1-Assumptions!$B$8))),0))</f>
        <v>-1.20075880101487</v>
      </c>
      <c r="R30" s="39" t="n">
        <f aca="false">(((((Assumptions!$B$5*8760*$B$20*(1-Assumptions!$B$16)^(16-1)/1000)*$C$20/10)+(-Assumptions!$B$17*(1+Assumptions!$B$18)^(16-1)))+IF(16&lt;=Assumptions!$B$20,-(Assumptions!$B$7*$D$20)/Assumptions!$B$20,0)+IF(16&lt;=Assumptions!$B$12,IPMT(Assumptions!$B$11,16,Assumptions!$B$12,((Assumptions!$B$7*$D$20)*(1-Assumptions!$B$8))),0))+(-MAX(0,((((Assumptions!$B$5*8760*$B$20*(1-Assumptions!$B$16)^(16-1)/1000)*$C$20/10)+(-Assumptions!$B$17*(1+Assumptions!$B$18)^(16-1)))+IF(16&lt;=Assumptions!$B$20,-(Assumptions!$B$7*$D$20)/Assumptions!$B$20,0)+IF(16&lt;=Assumptions!$B$12,IPMT(Assumptions!$B$11,16,Assumptions!$B$12,((Assumptions!$B$7*$D$20)*(1-Assumptions!$B$8))),0)))*Assumptions!$B$19))-(IF(16&lt;=Assumptions!$B$20,-(Assumptions!$B$7*$D$20)/Assumptions!$B$20,0))+(IF(16&lt;=Assumptions!$B$12,PPMT(Assumptions!$B$11,16,Assumptions!$B$12,((Assumptions!$B$7*$D$20)*(1-Assumptions!$B$8))),0))</f>
        <v>2.41594845028261</v>
      </c>
      <c r="S30" s="39" t="n">
        <f aca="false">(((((Assumptions!$B$5*8760*$B$20*(1-Assumptions!$B$16)^(17-1)/1000)*$C$20/10)+(-Assumptions!$B$17*(1+Assumptions!$B$18)^(17-1)))+IF(17&lt;=Assumptions!$B$20,-(Assumptions!$B$7*$D$20)/Assumptions!$B$20,0)+IF(17&lt;=Assumptions!$B$12,IPMT(Assumptions!$B$11,17,Assumptions!$B$12,((Assumptions!$B$7*$D$20)*(1-Assumptions!$B$8))),0))+(-MAX(0,((((Assumptions!$B$5*8760*$B$20*(1-Assumptions!$B$16)^(17-1)/1000)*$C$20/10)+(-Assumptions!$B$17*(1+Assumptions!$B$18)^(17-1)))+IF(17&lt;=Assumptions!$B$20,-(Assumptions!$B$7*$D$20)/Assumptions!$B$20,0)+IF(17&lt;=Assumptions!$B$12,IPMT(Assumptions!$B$11,17,Assumptions!$B$12,((Assumptions!$B$7*$D$20)*(1-Assumptions!$B$8))),0)))*Assumptions!$B$19))-(IF(17&lt;=Assumptions!$B$20,-(Assumptions!$B$7*$D$20)/Assumptions!$B$20,0))+(IF(17&lt;=Assumptions!$B$12,PPMT(Assumptions!$B$11,17,Assumptions!$B$12,((Assumptions!$B$7*$D$20)*(1-Assumptions!$B$8))),0))</f>
        <v>2.36314706433084</v>
      </c>
      <c r="T30" s="39" t="n">
        <f aca="false">(((((Assumptions!$B$5*8760*$B$20*(1-Assumptions!$B$16)^(18-1)/1000)*$C$20/10)+(-Assumptions!$B$17*(1+Assumptions!$B$18)^(18-1)))+IF(18&lt;=Assumptions!$B$20,-(Assumptions!$B$7*$D$20)/Assumptions!$B$20,0)+IF(18&lt;=Assumptions!$B$12,IPMT(Assumptions!$B$11,18,Assumptions!$B$12,((Assumptions!$B$7*$D$20)*(1-Assumptions!$B$8))),0))+(-MAX(0,((((Assumptions!$B$5*8760*$B$20*(1-Assumptions!$B$16)^(18-1)/1000)*$C$20/10)+(-Assumptions!$B$17*(1+Assumptions!$B$18)^(18-1)))+IF(18&lt;=Assumptions!$B$20,-(Assumptions!$B$7*$D$20)/Assumptions!$B$20,0)+IF(18&lt;=Assumptions!$B$12,IPMT(Assumptions!$B$11,18,Assumptions!$B$12,((Assumptions!$B$7*$D$20)*(1-Assumptions!$B$8))),0)))*Assumptions!$B$19))-(IF(18&lt;=Assumptions!$B$20,-(Assumptions!$B$7*$D$20)/Assumptions!$B$20,0))+(IF(18&lt;=Assumptions!$B$12,PPMT(Assumptions!$B$11,18,Assumptions!$B$12,((Assumptions!$B$7*$D$20)*(1-Assumptions!$B$8))),0))</f>
        <v>2.30846579062381</v>
      </c>
      <c r="U30" s="39" t="n">
        <f aca="false">(((((Assumptions!$B$5*8760*$B$20*(1-Assumptions!$B$16)^(19-1)/1000)*$C$20/10)+(-Assumptions!$B$17*(1+Assumptions!$B$18)^(19-1)))+IF(19&lt;=Assumptions!$B$20,-(Assumptions!$B$7*$D$20)/Assumptions!$B$20,0)+IF(19&lt;=Assumptions!$B$12,IPMT(Assumptions!$B$11,19,Assumptions!$B$12,((Assumptions!$B$7*$D$20)*(1-Assumptions!$B$8))),0))+(-MAX(0,((((Assumptions!$B$5*8760*$B$20*(1-Assumptions!$B$16)^(19-1)/1000)*$C$20/10)+(-Assumptions!$B$17*(1+Assumptions!$B$18)^(19-1)))+IF(19&lt;=Assumptions!$B$20,-(Assumptions!$B$7*$D$20)/Assumptions!$B$20,0)+IF(19&lt;=Assumptions!$B$12,IPMT(Assumptions!$B$11,19,Assumptions!$B$12,((Assumptions!$B$7*$D$20)*(1-Assumptions!$B$8))),0)))*Assumptions!$B$19))-(IF(19&lt;=Assumptions!$B$20,-(Assumptions!$B$7*$D$20)/Assumptions!$B$20,0))+(IF(19&lt;=Assumptions!$B$12,PPMT(Assumptions!$B$11,19,Assumptions!$B$12,((Assumptions!$B$7*$D$20)*(1-Assumptions!$B$8))),0))</f>
        <v>2.25180683386605</v>
      </c>
      <c r="V30" s="39" t="n">
        <f aca="false">(((((Assumptions!$B$5*8760*$B$20*(1-Assumptions!$B$16)^(20-1)/1000)*$C$20/10)+(-Assumptions!$B$17*(1+Assumptions!$B$18)^(20-1)))+IF(20&lt;=Assumptions!$B$20,-(Assumptions!$B$7*$D$20)/Assumptions!$B$20,0)+IF(20&lt;=Assumptions!$B$12,IPMT(Assumptions!$B$11,20,Assumptions!$B$12,((Assumptions!$B$7*$D$20)*(1-Assumptions!$B$8))),0))+(-MAX(0,((((Assumptions!$B$5*8760*$B$20*(1-Assumptions!$B$16)^(20-1)/1000)*$C$20/10)+(-Assumptions!$B$17*(1+Assumptions!$B$18)^(20-1)))+IF(20&lt;=Assumptions!$B$20,-(Assumptions!$B$7*$D$20)/Assumptions!$B$20,0)+IF(20&lt;=Assumptions!$B$12,IPMT(Assumptions!$B$11,20,Assumptions!$B$12,((Assumptions!$B$7*$D$20)*(1-Assumptions!$B$8))),0)))*Assumptions!$B$19))-(IF(20&lt;=Assumptions!$B$20,-(Assumptions!$B$7*$D$20)/Assumptions!$B$20,0))+(IF(20&lt;=Assumptions!$B$12,PPMT(Assumptions!$B$11,20,Assumptions!$B$12,((Assumptions!$B$7*$D$20)*(1-Assumptions!$B$8))),0))</f>
        <v>2.19306752800184</v>
      </c>
      <c r="W30" s="39" t="n">
        <f aca="false">(((((Assumptions!$B$5*8760*$B$20*(1-Assumptions!$B$16)^(21-1)/1000)*$C$20/10)+(-Assumptions!$B$17*(1+Assumptions!$B$18)^(21-1)))+IF(21&lt;=Assumptions!$B$20,-(Assumptions!$B$7*$D$20)/Assumptions!$B$20,0)+IF(21&lt;=Assumptions!$B$12,IPMT(Assumptions!$B$11,21,Assumptions!$B$12,((Assumptions!$B$7*$D$20)*(1-Assumptions!$B$8))),0))+(-MAX(0,((((Assumptions!$B$5*8760*$B$20*(1-Assumptions!$B$16)^(21-1)/1000)*$C$20/10)+(-Assumptions!$B$17*(1+Assumptions!$B$18)^(21-1)))+IF(21&lt;=Assumptions!$B$20,-(Assumptions!$B$7*$D$20)/Assumptions!$B$20,0)+IF(21&lt;=Assumptions!$B$12,IPMT(Assumptions!$B$11,21,Assumptions!$B$12,((Assumptions!$B$7*$D$20)*(1-Assumptions!$B$8))),0)))*Assumptions!$B$19))-(IF(21&lt;=Assumptions!$B$20,-(Assumptions!$B$7*$D$20)/Assumptions!$B$20,0))+(IF(21&lt;=Assumptions!$B$12,PPMT(Assumptions!$B$11,21,Assumptions!$B$12,((Assumptions!$B$7*$D$20)*(1-Assumptions!$B$8))),0))</f>
        <v>2.1321400925822</v>
      </c>
      <c r="X30" s="39" t="n">
        <f aca="false">(((((Assumptions!$B$5*8760*$B$20*(1-Assumptions!$B$16)^(22-1)/1000)*$C$20/10)+(-Assumptions!$B$17*(1+Assumptions!$B$18)^(22-1)))+IF(22&lt;=Assumptions!$B$20,-(Assumptions!$B$7*$D$20)/Assumptions!$B$20,0)+IF(22&lt;=Assumptions!$B$12,IPMT(Assumptions!$B$11,22,Assumptions!$B$12,((Assumptions!$B$7*$D$20)*(1-Assumptions!$B$8))),0))+(-MAX(0,((((Assumptions!$B$5*8760*$B$20*(1-Assumptions!$B$16)^(22-1)/1000)*$C$20/10)+(-Assumptions!$B$17*(1+Assumptions!$B$18)^(22-1)))+IF(22&lt;=Assumptions!$B$20,-(Assumptions!$B$7*$D$20)/Assumptions!$B$20,0)+IF(22&lt;=Assumptions!$B$12,IPMT(Assumptions!$B$11,22,Assumptions!$B$12,((Assumptions!$B$7*$D$20)*(1-Assumptions!$B$8))),0)))*Assumptions!$B$19))-(IF(22&lt;=Assumptions!$B$20,-(Assumptions!$B$7*$D$20)/Assumptions!$B$20,0))+(IF(22&lt;=Assumptions!$B$12,PPMT(Assumptions!$B$11,22,Assumptions!$B$12,((Assumptions!$B$7*$D$20)*(1-Assumptions!$B$8))),0))</f>
        <v>2.06891137695069</v>
      </c>
      <c r="Y30" s="39" t="n">
        <f aca="false">(((((Assumptions!$B$5*8760*$B$20*(1-Assumptions!$B$16)^(23-1)/1000)*$C$20/10)+(-Assumptions!$B$17*(1+Assumptions!$B$18)^(23-1)))+IF(23&lt;=Assumptions!$B$20,-(Assumptions!$B$7*$D$20)/Assumptions!$B$20,0)+IF(23&lt;=Assumptions!$B$12,IPMT(Assumptions!$B$11,23,Assumptions!$B$12,((Assumptions!$B$7*$D$20)*(1-Assumptions!$B$8))),0))+(-MAX(0,((((Assumptions!$B$5*8760*$B$20*(1-Assumptions!$B$16)^(23-1)/1000)*$C$20/10)+(-Assumptions!$B$17*(1+Assumptions!$B$18)^(23-1)))+IF(23&lt;=Assumptions!$B$20,-(Assumptions!$B$7*$D$20)/Assumptions!$B$20,0)+IF(23&lt;=Assumptions!$B$12,IPMT(Assumptions!$B$11,23,Assumptions!$B$12,((Assumptions!$B$7*$D$20)*(1-Assumptions!$B$8))),0)))*Assumptions!$B$19))-(IF(23&lt;=Assumptions!$B$20,-(Assumptions!$B$7*$D$20)/Assumptions!$B$20,0))+(IF(23&lt;=Assumptions!$B$12,PPMT(Assumptions!$B$11,23,Assumptions!$B$12,((Assumptions!$B$7*$D$20)*(1-Assumptions!$B$8))),0))</f>
        <v>2.0032625916389</v>
      </c>
      <c r="Z30" s="39" t="n">
        <f aca="false">(((((Assumptions!$B$5*8760*$B$20*(1-Assumptions!$B$16)^(24-1)/1000)*$C$20/10)+(-Assumptions!$B$17*(1+Assumptions!$B$18)^(24-1)))+IF(24&lt;=Assumptions!$B$20,-(Assumptions!$B$7*$D$20)/Assumptions!$B$20,0)+IF(24&lt;=Assumptions!$B$12,IPMT(Assumptions!$B$11,24,Assumptions!$B$12,((Assumptions!$B$7*$D$20)*(1-Assumptions!$B$8))),0))+(-MAX(0,((((Assumptions!$B$5*8760*$B$20*(1-Assumptions!$B$16)^(24-1)/1000)*$C$20/10)+(-Assumptions!$B$17*(1+Assumptions!$B$18)^(24-1)))+IF(24&lt;=Assumptions!$B$20,-(Assumptions!$B$7*$D$20)/Assumptions!$B$20,0)+IF(24&lt;=Assumptions!$B$12,IPMT(Assumptions!$B$11,24,Assumptions!$B$12,((Assumptions!$B$7*$D$20)*(1-Assumptions!$B$8))),0)))*Assumptions!$B$19))-(IF(24&lt;=Assumptions!$B$20,-(Assumptions!$B$7*$D$20)/Assumptions!$B$20,0))+(IF(24&lt;=Assumptions!$B$12,PPMT(Assumptions!$B$11,24,Assumptions!$B$12,((Assumptions!$B$7*$D$20)*(1-Assumptions!$B$8))),0))</f>
        <v>1.93506902633232</v>
      </c>
      <c r="AA30" s="39" t="n">
        <f aca="false">(((((Assumptions!$B$5*8760*$B$20*(1-Assumptions!$B$16)^(25-1)/1000)*$C$20/10)+(-Assumptions!$B$17*(1+Assumptions!$B$18)^(25-1)))+IF(25&lt;=Assumptions!$B$20,-(Assumptions!$B$7*$D$20)/Assumptions!$B$20,0)+IF(25&lt;=Assumptions!$B$12,IPMT(Assumptions!$B$11,25,Assumptions!$B$12,((Assumptions!$B$7*$D$20)*(1-Assumptions!$B$8))),0))+(-MAX(0,((((Assumptions!$B$5*8760*$B$20*(1-Assumptions!$B$16)^(25-1)/1000)*$C$20/10)+(-Assumptions!$B$17*(1+Assumptions!$B$18)^(25-1)))+IF(25&lt;=Assumptions!$B$20,-(Assumptions!$B$7*$D$20)/Assumptions!$B$20,0)+IF(25&lt;=Assumptions!$B$12,IPMT(Assumptions!$B$11,25,Assumptions!$B$12,((Assumptions!$B$7*$D$20)*(1-Assumptions!$B$8))),0)))*Assumptions!$B$19))-(IF(25&lt;=Assumptions!$B$20,-(Assumptions!$B$7*$D$20)/Assumptions!$B$20,0))+(IF(25&lt;=Assumptions!$B$12,PPMT(Assumptions!$B$11,25,Assumptions!$B$12,((Assumptions!$B$7*$D$20)*(1-Assumptions!$B$8))),0))</f>
        <v>1.86419975373486</v>
      </c>
    </row>
    <row r="31" customFormat="false" ht="15" hidden="false" customHeight="false" outlineLevel="0" collapsed="false">
      <c r="A31" s="37" t="s">
        <v>132</v>
      </c>
      <c r="B31" s="39" t="n">
        <f aca="false">-((Assumptions!$B$7*$D$21)*Assumptions!$B$8)</f>
        <v>-11.25</v>
      </c>
      <c r="C31" s="39" t="n">
        <f aca="false">(((((Assumptions!$B$5*8760*$B$21*(1-Assumptions!$B$16)^(1-1)/1000)*$C$21/10)+(-Assumptions!$B$17*(1+Assumptions!$B$18)^(1-1)))+IF(1&lt;=Assumptions!$B$20,-(Assumptions!$B$7*$D$21)/Assumptions!$B$20,0)+IF(1&lt;=Assumptions!$B$12,IPMT(Assumptions!$B$11,1,Assumptions!$B$12,((Assumptions!$B$7*$D$21)*(1-Assumptions!$B$8))),0))+(-MAX(0,((((Assumptions!$B$5*8760*$B$21*(1-Assumptions!$B$16)^(1-1)/1000)*$C$21/10)+(-Assumptions!$B$17*(1+Assumptions!$B$18)^(1-1)))+IF(1&lt;=Assumptions!$B$20,-(Assumptions!$B$7*$D$21)/Assumptions!$B$20,0)+IF(1&lt;=Assumptions!$B$12,IPMT(Assumptions!$B$11,1,Assumptions!$B$12,((Assumptions!$B$7*$D$21)*(1-Assumptions!$B$8))),0)))*Assumptions!$B$19))-(IF(1&lt;=Assumptions!$B$20,-(Assumptions!$B$7*$D$21)/Assumptions!$B$20,0))+(IF(1&lt;=Assumptions!$B$12,PPMT(Assumptions!$B$11,1,Assumptions!$B$12,((Assumptions!$B$7*$D$21)*(1-Assumptions!$B$8))),0))</f>
        <v>2.26157933042936</v>
      </c>
      <c r="D31" s="39" t="n">
        <f aca="false">(((((Assumptions!$B$5*8760*$B$21*(1-Assumptions!$B$16)^(2-1)/1000)*$C$21/10)+(-Assumptions!$B$17*(1+Assumptions!$B$18)^(2-1)))+IF(2&lt;=Assumptions!$B$20,-(Assumptions!$B$7*$D$21)/Assumptions!$B$20,0)+IF(2&lt;=Assumptions!$B$12,IPMT(Assumptions!$B$11,2,Assumptions!$B$12,((Assumptions!$B$7*$D$21)*(1-Assumptions!$B$8))),0))+(-MAX(0,((((Assumptions!$B$5*8760*$B$21*(1-Assumptions!$B$16)^(2-1)/1000)*$C$21/10)+(-Assumptions!$B$17*(1+Assumptions!$B$18)^(2-1)))+IF(2&lt;=Assumptions!$B$20,-(Assumptions!$B$7*$D$21)/Assumptions!$B$20,0)+IF(2&lt;=Assumptions!$B$12,IPMT(Assumptions!$B$11,2,Assumptions!$B$12,((Assumptions!$B$7*$D$21)*(1-Assumptions!$B$8))),0)))*Assumptions!$B$19))-(IF(2&lt;=Assumptions!$B$20,-(Assumptions!$B$7*$D$21)/Assumptions!$B$20,0))+(IF(2&lt;=Assumptions!$B$12,PPMT(Assumptions!$B$11,2,Assumptions!$B$12,((Assumptions!$B$7*$D$21)*(1-Assumptions!$B$8))),0))</f>
        <v>2.19807580286402</v>
      </c>
      <c r="E31" s="39" t="n">
        <f aca="false">(((((Assumptions!$B$5*8760*$B$21*(1-Assumptions!$B$16)^(3-1)/1000)*$C$21/10)+(-Assumptions!$B$17*(1+Assumptions!$B$18)^(3-1)))+IF(3&lt;=Assumptions!$B$20,-(Assumptions!$B$7*$D$21)/Assumptions!$B$20,0)+IF(3&lt;=Assumptions!$B$12,IPMT(Assumptions!$B$11,3,Assumptions!$B$12,((Assumptions!$B$7*$D$21)*(1-Assumptions!$B$8))),0))+(-MAX(0,((((Assumptions!$B$5*8760*$B$21*(1-Assumptions!$B$16)^(3-1)/1000)*$C$21/10)+(-Assumptions!$B$17*(1+Assumptions!$B$18)^(3-1)))+IF(3&lt;=Assumptions!$B$20,-(Assumptions!$B$7*$D$21)/Assumptions!$B$20,0)+IF(3&lt;=Assumptions!$B$12,IPMT(Assumptions!$B$11,3,Assumptions!$B$12,((Assumptions!$B$7*$D$21)*(1-Assumptions!$B$8))),0)))*Assumptions!$B$19))-(IF(3&lt;=Assumptions!$B$20,-(Assumptions!$B$7*$D$21)/Assumptions!$B$20,0))+(IF(3&lt;=Assumptions!$B$12,PPMT(Assumptions!$B$11,3,Assumptions!$B$12,((Assumptions!$B$7*$D$21)*(1-Assumptions!$B$8))),0))</f>
        <v>2.1319475203178</v>
      </c>
      <c r="F31" s="39" t="n">
        <f aca="false">(((((Assumptions!$B$5*8760*$B$21*(1-Assumptions!$B$16)^(4-1)/1000)*$C$21/10)+(-Assumptions!$B$17*(1+Assumptions!$B$18)^(4-1)))+IF(4&lt;=Assumptions!$B$20,-(Assumptions!$B$7*$D$21)/Assumptions!$B$20,0)+IF(4&lt;=Assumptions!$B$12,IPMT(Assumptions!$B$11,4,Assumptions!$B$12,((Assumptions!$B$7*$D$21)*(1-Assumptions!$B$8))),0))+(-MAX(0,((((Assumptions!$B$5*8760*$B$21*(1-Assumptions!$B$16)^(4-1)/1000)*$C$21/10)+(-Assumptions!$B$17*(1+Assumptions!$B$18)^(4-1)))+IF(4&lt;=Assumptions!$B$20,-(Assumptions!$B$7*$D$21)/Assumptions!$B$20,0)+IF(4&lt;=Assumptions!$B$12,IPMT(Assumptions!$B$11,4,Assumptions!$B$12,((Assumptions!$B$7*$D$21)*(1-Assumptions!$B$8))),0)))*Assumptions!$B$19))-(IF(4&lt;=Assumptions!$B$20,-(Assumptions!$B$7*$D$21)/Assumptions!$B$20,0))+(IF(4&lt;=Assumptions!$B$12,PPMT(Assumptions!$B$11,4,Assumptions!$B$12,((Assumptions!$B$7*$D$21)*(1-Assumptions!$B$8))),0))</f>
        <v>2.06298405202992</v>
      </c>
      <c r="G31" s="39" t="n">
        <f aca="false">(((((Assumptions!$B$5*8760*$B$21*(1-Assumptions!$B$16)^(5-1)/1000)*$C$21/10)+(-Assumptions!$B$17*(1+Assumptions!$B$18)^(5-1)))+IF(5&lt;=Assumptions!$B$20,-(Assumptions!$B$7*$D$21)/Assumptions!$B$20,0)+IF(5&lt;=Assumptions!$B$12,IPMT(Assumptions!$B$11,5,Assumptions!$B$12,((Assumptions!$B$7*$D$21)*(1-Assumptions!$B$8))),0))+(-MAX(0,((((Assumptions!$B$5*8760*$B$21*(1-Assumptions!$B$16)^(5-1)/1000)*$C$21/10)+(-Assumptions!$B$17*(1+Assumptions!$B$18)^(5-1)))+IF(5&lt;=Assumptions!$B$20,-(Assumptions!$B$7*$D$21)/Assumptions!$B$20,0)+IF(5&lt;=Assumptions!$B$12,IPMT(Assumptions!$B$11,5,Assumptions!$B$12,((Assumptions!$B$7*$D$21)*(1-Assumptions!$B$8))),0)))*Assumptions!$B$19))-(IF(5&lt;=Assumptions!$B$20,-(Assumptions!$B$7*$D$21)/Assumptions!$B$20,0))+(IF(5&lt;=Assumptions!$B$12,PPMT(Assumptions!$B$11,5,Assumptions!$B$12,((Assumptions!$B$7*$D$21)*(1-Assumptions!$B$8))),0))</f>
        <v>1.99095796198519</v>
      </c>
      <c r="H31" s="39" t="n">
        <f aca="false">(((((Assumptions!$B$5*8760*$B$21*(1-Assumptions!$B$16)^(6-1)/1000)*$C$21/10)+(-Assumptions!$B$17*(1+Assumptions!$B$18)^(6-1)))+IF(6&lt;=Assumptions!$B$20,-(Assumptions!$B$7*$D$21)/Assumptions!$B$20,0)+IF(6&lt;=Assumptions!$B$12,IPMT(Assumptions!$B$11,6,Assumptions!$B$12,((Assumptions!$B$7*$D$21)*(1-Assumptions!$B$8))),0))+(-MAX(0,((((Assumptions!$B$5*8760*$B$21*(1-Assumptions!$B$16)^(6-1)/1000)*$C$21/10)+(-Assumptions!$B$17*(1+Assumptions!$B$18)^(6-1)))+IF(6&lt;=Assumptions!$B$20,-(Assumptions!$B$7*$D$21)/Assumptions!$B$20,0)+IF(6&lt;=Assumptions!$B$12,IPMT(Assumptions!$B$11,6,Assumptions!$B$12,((Assumptions!$B$7*$D$21)*(1-Assumptions!$B$8))),0)))*Assumptions!$B$19))-(IF(6&lt;=Assumptions!$B$20,-(Assumptions!$B$7*$D$21)/Assumptions!$B$20,0))+(IF(6&lt;=Assumptions!$B$12,PPMT(Assumptions!$B$11,6,Assumptions!$B$12,((Assumptions!$B$7*$D$21)*(1-Assumptions!$B$8))),0))</f>
        <v>1.91562337189856</v>
      </c>
      <c r="I31" s="39" t="n">
        <f aca="false">(((((Assumptions!$B$5*8760*$B$21*(1-Assumptions!$B$16)^(7-1)/1000)*$C$21/10)+(-Assumptions!$B$17*(1+Assumptions!$B$18)^(7-1)))+IF(7&lt;=Assumptions!$B$20,-(Assumptions!$B$7*$D$21)/Assumptions!$B$20,0)+IF(7&lt;=Assumptions!$B$12,IPMT(Assumptions!$B$11,7,Assumptions!$B$12,((Assumptions!$B$7*$D$21)*(1-Assumptions!$B$8))),0))+(-MAX(0,((((Assumptions!$B$5*8760*$B$21*(1-Assumptions!$B$16)^(7-1)/1000)*$C$21/10)+(-Assumptions!$B$17*(1+Assumptions!$B$18)^(7-1)))+IF(7&lt;=Assumptions!$B$20,-(Assumptions!$B$7*$D$21)/Assumptions!$B$20,0)+IF(7&lt;=Assumptions!$B$12,IPMT(Assumptions!$B$11,7,Assumptions!$B$12,((Assumptions!$B$7*$D$21)*(1-Assumptions!$B$8))),0)))*Assumptions!$B$19))-(IF(7&lt;=Assumptions!$B$20,-(Assumptions!$B$7*$D$21)/Assumptions!$B$20,0))+(IF(7&lt;=Assumptions!$B$12,PPMT(Assumptions!$B$11,7,Assumptions!$B$12,((Assumptions!$B$7*$D$21)*(1-Assumptions!$B$8))),0))</f>
        <v>1.83671439955719</v>
      </c>
      <c r="J31" s="39" t="n">
        <f aca="false">(((((Assumptions!$B$5*8760*$B$21*(1-Assumptions!$B$16)^(8-1)/1000)*$C$21/10)+(-Assumptions!$B$17*(1+Assumptions!$B$18)^(8-1)))+IF(8&lt;=Assumptions!$B$20,-(Assumptions!$B$7*$D$21)/Assumptions!$B$20,0)+IF(8&lt;=Assumptions!$B$12,IPMT(Assumptions!$B$11,8,Assumptions!$B$12,((Assumptions!$B$7*$D$21)*(1-Assumptions!$B$8))),0))+(-MAX(0,((((Assumptions!$B$5*8760*$B$21*(1-Assumptions!$B$16)^(8-1)/1000)*$C$21/10)+(-Assumptions!$B$17*(1+Assumptions!$B$18)^(8-1)))+IF(8&lt;=Assumptions!$B$20,-(Assumptions!$B$7*$D$21)/Assumptions!$B$20,0)+IF(8&lt;=Assumptions!$B$12,IPMT(Assumptions!$B$11,8,Assumptions!$B$12,((Assumptions!$B$7*$D$21)*(1-Assumptions!$B$8))),0)))*Assumptions!$B$19))-(IF(8&lt;=Assumptions!$B$20,-(Assumptions!$B$7*$D$21)/Assumptions!$B$20,0))+(IF(8&lt;=Assumptions!$B$12,PPMT(Assumptions!$B$11,8,Assumptions!$B$12,((Assumptions!$B$7*$D$21)*(1-Assumptions!$B$8))),0))</f>
        <v>1.75394346153669</v>
      </c>
      <c r="K31" s="39" t="n">
        <f aca="false">(((((Assumptions!$B$5*8760*$B$21*(1-Assumptions!$B$16)^(9-1)/1000)*$C$21/10)+(-Assumptions!$B$17*(1+Assumptions!$B$18)^(9-1)))+IF(9&lt;=Assumptions!$B$20,-(Assumptions!$B$7*$D$21)/Assumptions!$B$20,0)+IF(9&lt;=Assumptions!$B$12,IPMT(Assumptions!$B$11,9,Assumptions!$B$12,((Assumptions!$B$7*$D$21)*(1-Assumptions!$B$8))),0))+(-MAX(0,((((Assumptions!$B$5*8760*$B$21*(1-Assumptions!$B$16)^(9-1)/1000)*$C$21/10)+(-Assumptions!$B$17*(1+Assumptions!$B$18)^(9-1)))+IF(9&lt;=Assumptions!$B$20,-(Assumptions!$B$7*$D$21)/Assumptions!$B$20,0)+IF(9&lt;=Assumptions!$B$12,IPMT(Assumptions!$B$11,9,Assumptions!$B$12,((Assumptions!$B$7*$D$21)*(1-Assumptions!$B$8))),0)))*Assumptions!$B$19))-(IF(9&lt;=Assumptions!$B$20,-(Assumptions!$B$7*$D$21)/Assumptions!$B$20,0))+(IF(9&lt;=Assumptions!$B$12,PPMT(Assumptions!$B$11,9,Assumptions!$B$12,((Assumptions!$B$7*$D$21)*(1-Assumptions!$B$8))),0))</f>
        <v>1.66699942833125</v>
      </c>
      <c r="L31" s="39" t="n">
        <f aca="false">(((((Assumptions!$B$5*8760*$B$21*(1-Assumptions!$B$16)^(10-1)/1000)*$C$21/10)+(-Assumptions!$B$17*(1+Assumptions!$B$18)^(10-1)))+IF(10&lt;=Assumptions!$B$20,-(Assumptions!$B$7*$D$21)/Assumptions!$B$20,0)+IF(10&lt;=Assumptions!$B$12,IPMT(Assumptions!$B$11,10,Assumptions!$B$12,((Assumptions!$B$7*$D$21)*(1-Assumptions!$B$8))),0))+(-MAX(0,((((Assumptions!$B$5*8760*$B$21*(1-Assumptions!$B$16)^(10-1)/1000)*$C$21/10)+(-Assumptions!$B$17*(1+Assumptions!$B$18)^(10-1)))+IF(10&lt;=Assumptions!$B$20,-(Assumptions!$B$7*$D$21)/Assumptions!$B$20,0)+IF(10&lt;=Assumptions!$B$12,IPMT(Assumptions!$B$11,10,Assumptions!$B$12,((Assumptions!$B$7*$D$21)*(1-Assumptions!$B$8))),0)))*Assumptions!$B$19))-(IF(10&lt;=Assumptions!$B$20,-(Assumptions!$B$7*$D$21)/Assumptions!$B$20,0))+(IF(10&lt;=Assumptions!$B$12,PPMT(Assumptions!$B$11,10,Assumptions!$B$12,((Assumptions!$B$7*$D$21)*(1-Assumptions!$B$8))),0))</f>
        <v>1.57554561887321</v>
      </c>
      <c r="M31" s="39" t="n">
        <f aca="false">(((((Assumptions!$B$5*8760*$B$21*(1-Assumptions!$B$16)^(11-1)/1000)*$C$21/10)+(-Assumptions!$B$17*(1+Assumptions!$B$18)^(11-1)))+IF(11&lt;=Assumptions!$B$20,-(Assumptions!$B$7*$D$21)/Assumptions!$B$20,0)+IF(11&lt;=Assumptions!$B$12,IPMT(Assumptions!$B$11,11,Assumptions!$B$12,((Assumptions!$B$7*$D$21)*(1-Assumptions!$B$8))),0))+(-MAX(0,((((Assumptions!$B$5*8760*$B$21*(1-Assumptions!$B$16)^(11-1)/1000)*$C$21/10)+(-Assumptions!$B$17*(1+Assumptions!$B$18)^(11-1)))+IF(11&lt;=Assumptions!$B$20,-(Assumptions!$B$7*$D$21)/Assumptions!$B$20,0)+IF(11&lt;=Assumptions!$B$12,IPMT(Assumptions!$B$11,11,Assumptions!$B$12,((Assumptions!$B$7*$D$21)*(1-Assumptions!$B$8))),0)))*Assumptions!$B$19))-(IF(11&lt;=Assumptions!$B$20,-(Assumptions!$B$7*$D$21)/Assumptions!$B$20,0))+(IF(11&lt;=Assumptions!$B$12,PPMT(Assumptions!$B$11,11,Assumptions!$B$12,((Assumptions!$B$7*$D$21)*(1-Assumptions!$B$8))),0))</f>
        <v>1.47921762025859</v>
      </c>
      <c r="N31" s="39" t="n">
        <f aca="false">(((((Assumptions!$B$5*8760*$B$21*(1-Assumptions!$B$16)^(12-1)/1000)*$C$21/10)+(-Assumptions!$B$17*(1+Assumptions!$B$18)^(12-1)))+IF(12&lt;=Assumptions!$B$20,-(Assumptions!$B$7*$D$21)/Assumptions!$B$20,0)+IF(12&lt;=Assumptions!$B$12,IPMT(Assumptions!$B$11,12,Assumptions!$B$12,((Assumptions!$B$7*$D$21)*(1-Assumptions!$B$8))),0))+(-MAX(0,((((Assumptions!$B$5*8760*$B$21*(1-Assumptions!$B$16)^(12-1)/1000)*$C$21/10)+(-Assumptions!$B$17*(1+Assumptions!$B$18)^(12-1)))+IF(12&lt;=Assumptions!$B$20,-(Assumptions!$B$7*$D$21)/Assumptions!$B$20,0)+IF(12&lt;=Assumptions!$B$12,IPMT(Assumptions!$B$11,12,Assumptions!$B$12,((Assumptions!$B$7*$D$21)*(1-Assumptions!$B$8))),0)))*Assumptions!$B$19))-(IF(12&lt;=Assumptions!$B$20,-(Assumptions!$B$7*$D$21)/Assumptions!$B$20,0))+(IF(12&lt;=Assumptions!$B$12,PPMT(Assumptions!$B$11,12,Assumptions!$B$12,((Assumptions!$B$7*$D$21)*(1-Assumptions!$B$8))),0))</f>
        <v>1.37762091723188</v>
      </c>
      <c r="O31" s="39" t="n">
        <f aca="false">(((((Assumptions!$B$5*8760*$B$21*(1-Assumptions!$B$16)^(13-1)/1000)*$C$21/10)+(-Assumptions!$B$17*(1+Assumptions!$B$18)^(13-1)))+IF(13&lt;=Assumptions!$B$20,-(Assumptions!$B$7*$D$21)/Assumptions!$B$20,0)+IF(13&lt;=Assumptions!$B$12,IPMT(Assumptions!$B$11,13,Assumptions!$B$12,((Assumptions!$B$7*$D$21)*(1-Assumptions!$B$8))),0))+(-MAX(0,((((Assumptions!$B$5*8760*$B$21*(1-Assumptions!$B$16)^(13-1)/1000)*$C$21/10)+(-Assumptions!$B$17*(1+Assumptions!$B$18)^(13-1)))+IF(13&lt;=Assumptions!$B$20,-(Assumptions!$B$7*$D$21)/Assumptions!$B$20,0)+IF(13&lt;=Assumptions!$B$12,IPMT(Assumptions!$B$11,13,Assumptions!$B$12,((Assumptions!$B$7*$D$21)*(1-Assumptions!$B$8))),0)))*Assumptions!$B$19))-(IF(13&lt;=Assumptions!$B$20,-(Assumptions!$B$7*$D$21)/Assumptions!$B$20,0))+(IF(13&lt;=Assumptions!$B$12,PPMT(Assumptions!$B$11,13,Assumptions!$B$12,((Assumptions!$B$7*$D$21)*(1-Assumptions!$B$8))),0))</f>
        <v>1.2703283146076</v>
      </c>
      <c r="P31" s="39" t="n">
        <f aca="false">(((((Assumptions!$B$5*8760*$B$21*(1-Assumptions!$B$16)^(14-1)/1000)*$C$21/10)+(-Assumptions!$B$17*(1+Assumptions!$B$18)^(14-1)))+IF(14&lt;=Assumptions!$B$20,-(Assumptions!$B$7*$D$21)/Assumptions!$B$20,0)+IF(14&lt;=Assumptions!$B$12,IPMT(Assumptions!$B$11,14,Assumptions!$B$12,((Assumptions!$B$7*$D$21)*(1-Assumptions!$B$8))),0))+(-MAX(0,((((Assumptions!$B$5*8760*$B$21*(1-Assumptions!$B$16)^(14-1)/1000)*$C$21/10)+(-Assumptions!$B$17*(1+Assumptions!$B$18)^(14-1)))+IF(14&lt;=Assumptions!$B$20,-(Assumptions!$B$7*$D$21)/Assumptions!$B$20,0)+IF(14&lt;=Assumptions!$B$12,IPMT(Assumptions!$B$11,14,Assumptions!$B$12,((Assumptions!$B$7*$D$21)*(1-Assumptions!$B$8))),0)))*Assumptions!$B$19))-(IF(14&lt;=Assumptions!$B$20,-(Assumptions!$B$7*$D$21)/Assumptions!$B$20,0))+(IF(14&lt;=Assumptions!$B$12,PPMT(Assumptions!$B$11,14,Assumptions!$B$12,((Assumptions!$B$7*$D$21)*(1-Assumptions!$B$8))),0))</f>
        <v>1.15687713430692</v>
      </c>
      <c r="Q31" s="39" t="n">
        <f aca="false">(((((Assumptions!$B$5*8760*$B$21*(1-Assumptions!$B$16)^(15-1)/1000)*$C$21/10)+(-Assumptions!$B$17*(1+Assumptions!$B$18)^(15-1)))+IF(15&lt;=Assumptions!$B$20,-(Assumptions!$B$7*$D$21)/Assumptions!$B$20,0)+IF(15&lt;=Assumptions!$B$12,IPMT(Assumptions!$B$11,15,Assumptions!$B$12,((Assumptions!$B$7*$D$21)*(1-Assumptions!$B$8))),0))+(-MAX(0,((((Assumptions!$B$5*8760*$B$21*(1-Assumptions!$B$16)^(15-1)/1000)*$C$21/10)+(-Assumptions!$B$17*(1+Assumptions!$B$18)^(15-1)))+IF(15&lt;=Assumptions!$B$20,-(Assumptions!$B$7*$D$21)/Assumptions!$B$20,0)+IF(15&lt;=Assumptions!$B$12,IPMT(Assumptions!$B$11,15,Assumptions!$B$12,((Assumptions!$B$7*$D$21)*(1-Assumptions!$B$8))),0)))*Assumptions!$B$19))-(IF(15&lt;=Assumptions!$B$20,-(Assumptions!$B$7*$D$21)/Assumptions!$B$20,0))+(IF(15&lt;=Assumptions!$B$12,PPMT(Assumptions!$B$11,15,Assumptions!$B$12,((Assumptions!$B$7*$D$21)*(1-Assumptions!$B$8))),0))</f>
        <v>1.03676616705472</v>
      </c>
      <c r="R31" s="39" t="n">
        <f aca="false">(((((Assumptions!$B$5*8760*$B$21*(1-Assumptions!$B$16)^(16-1)/1000)*$C$21/10)+(-Assumptions!$B$17*(1+Assumptions!$B$18)^(16-1)))+IF(16&lt;=Assumptions!$B$20,-(Assumptions!$B$7*$D$21)/Assumptions!$B$20,0)+IF(16&lt;=Assumptions!$B$12,IPMT(Assumptions!$B$11,16,Assumptions!$B$12,((Assumptions!$B$7*$D$21)*(1-Assumptions!$B$8))),0))+(-MAX(0,((((Assumptions!$B$5*8760*$B$21*(1-Assumptions!$B$16)^(16-1)/1000)*$C$21/10)+(-Assumptions!$B$17*(1+Assumptions!$B$18)^(16-1)))+IF(16&lt;=Assumptions!$B$20,-(Assumptions!$B$7*$D$21)/Assumptions!$B$20,0)+IF(16&lt;=Assumptions!$B$12,IPMT(Assumptions!$B$11,16,Assumptions!$B$12,((Assumptions!$B$7*$D$21)*(1-Assumptions!$B$8))),0)))*Assumptions!$B$19))-(IF(16&lt;=Assumptions!$B$20,-(Assumptions!$B$7*$D$21)/Assumptions!$B$20,0))+(IF(16&lt;=Assumptions!$B$12,PPMT(Assumptions!$B$11,16,Assumptions!$B$12,((Assumptions!$B$7*$D$21)*(1-Assumptions!$B$8))),0))</f>
        <v>4.16599802657305</v>
      </c>
      <c r="S31" s="39" t="n">
        <f aca="false">(((((Assumptions!$B$5*8760*$B$21*(1-Assumptions!$B$16)^(17-1)/1000)*$C$21/10)+(-Assumptions!$B$17*(1+Assumptions!$B$18)^(17-1)))+IF(17&lt;=Assumptions!$B$20,-(Assumptions!$B$7*$D$21)/Assumptions!$B$20,0)+IF(17&lt;=Assumptions!$B$12,IPMT(Assumptions!$B$11,17,Assumptions!$B$12,((Assumptions!$B$7*$D$21)*(1-Assumptions!$B$8))),0))+(-MAX(0,((((Assumptions!$B$5*8760*$B$21*(1-Assumptions!$B$16)^(17-1)/1000)*$C$21/10)+(-Assumptions!$B$17*(1+Assumptions!$B$18)^(17-1)))+IF(17&lt;=Assumptions!$B$20,-(Assumptions!$B$7*$D$21)/Assumptions!$B$20,0)+IF(17&lt;=Assumptions!$B$12,IPMT(Assumptions!$B$11,17,Assumptions!$B$12,((Assumptions!$B$7*$D$21)*(1-Assumptions!$B$8))),0)))*Assumptions!$B$19))-(IF(17&lt;=Assumptions!$B$20,-(Assumptions!$B$7*$D$21)/Assumptions!$B$20,0))+(IF(17&lt;=Assumptions!$B$12,PPMT(Assumptions!$B$11,17,Assumptions!$B$12,((Assumptions!$B$7*$D$21)*(1-Assumptions!$B$8))),0))</f>
        <v>4.10416514273982</v>
      </c>
      <c r="T31" s="39" t="n">
        <f aca="false">(((((Assumptions!$B$5*8760*$B$21*(1-Assumptions!$B$16)^(18-1)/1000)*$C$21/10)+(-Assumptions!$B$17*(1+Assumptions!$B$18)^(18-1)))+IF(18&lt;=Assumptions!$B$20,-(Assumptions!$B$7*$D$21)/Assumptions!$B$20,0)+IF(18&lt;=Assumptions!$B$12,IPMT(Assumptions!$B$11,18,Assumptions!$B$12,((Assumptions!$B$7*$D$21)*(1-Assumptions!$B$8))),0))+(-MAX(0,((((Assumptions!$B$5*8760*$B$21*(1-Assumptions!$B$16)^(18-1)/1000)*$C$21/10)+(-Assumptions!$B$17*(1+Assumptions!$B$18)^(18-1)))+IF(18&lt;=Assumptions!$B$20,-(Assumptions!$B$7*$D$21)/Assumptions!$B$20,0)+IF(18&lt;=Assumptions!$B$12,IPMT(Assumptions!$B$11,18,Assumptions!$B$12,((Assumptions!$B$7*$D$21)*(1-Assumptions!$B$8))),0)))*Assumptions!$B$19))-(IF(18&lt;=Assumptions!$B$20,-(Assumptions!$B$7*$D$21)/Assumptions!$B$20,0))+(IF(18&lt;=Assumptions!$B$12,PPMT(Assumptions!$B$11,18,Assumptions!$B$12,((Assumptions!$B$7*$D$21)*(1-Assumptions!$B$8))),0))</f>
        <v>4.04049752864075</v>
      </c>
      <c r="U31" s="39" t="n">
        <f aca="false">(((((Assumptions!$B$5*8760*$B$21*(1-Assumptions!$B$16)^(19-1)/1000)*$C$21/10)+(-Assumptions!$B$17*(1+Assumptions!$B$18)^(19-1)))+IF(19&lt;=Assumptions!$B$20,-(Assumptions!$B$7*$D$21)/Assumptions!$B$20,0)+IF(19&lt;=Assumptions!$B$12,IPMT(Assumptions!$B$11,19,Assumptions!$B$12,((Assumptions!$B$7*$D$21)*(1-Assumptions!$B$8))),0))+(-MAX(0,((((Assumptions!$B$5*8760*$B$21*(1-Assumptions!$B$16)^(19-1)/1000)*$C$21/10)+(-Assumptions!$B$17*(1+Assumptions!$B$18)^(19-1)))+IF(19&lt;=Assumptions!$B$20,-(Assumptions!$B$7*$D$21)/Assumptions!$B$20,0)+IF(19&lt;=Assumptions!$B$12,IPMT(Assumptions!$B$11,19,Assumptions!$B$12,((Assumptions!$B$7*$D$21)*(1-Assumptions!$B$8))),0)))*Assumptions!$B$19))-(IF(19&lt;=Assumptions!$B$20,-(Assumptions!$B$7*$D$21)/Assumptions!$B$20,0))+(IF(19&lt;=Assumptions!$B$12,PPMT(Assumptions!$B$11,19,Assumptions!$B$12,((Assumptions!$B$7*$D$21)*(1-Assumptions!$B$8))),0))</f>
        <v>3.9748971631929</v>
      </c>
      <c r="V31" s="39" t="n">
        <f aca="false">(((((Assumptions!$B$5*8760*$B$21*(1-Assumptions!$B$16)^(20-1)/1000)*$C$21/10)+(-Assumptions!$B$17*(1+Assumptions!$B$18)^(20-1)))+IF(20&lt;=Assumptions!$B$20,-(Assumptions!$B$7*$D$21)/Assumptions!$B$20,0)+IF(20&lt;=Assumptions!$B$12,IPMT(Assumptions!$B$11,20,Assumptions!$B$12,((Assumptions!$B$7*$D$21)*(1-Assumptions!$B$8))),0))+(-MAX(0,((((Assumptions!$B$5*8760*$B$21*(1-Assumptions!$B$16)^(20-1)/1000)*$C$21/10)+(-Assumptions!$B$17*(1+Assumptions!$B$18)^(20-1)))+IF(20&lt;=Assumptions!$B$20,-(Assumptions!$B$7*$D$21)/Assumptions!$B$20,0)+IF(20&lt;=Assumptions!$B$12,IPMT(Assumptions!$B$11,20,Assumptions!$B$12,((Assumptions!$B$7*$D$21)*(1-Assumptions!$B$8))),0)))*Assumptions!$B$19))-(IF(20&lt;=Assumptions!$B$20,-(Assumptions!$B$7*$D$21)/Assumptions!$B$20,0))+(IF(20&lt;=Assumptions!$B$12,PPMT(Assumptions!$B$11,20,Assumptions!$B$12,((Assumptions!$B$7*$D$21)*(1-Assumptions!$B$8))),0))</f>
        <v>3.90726115568205</v>
      </c>
      <c r="W31" s="39" t="n">
        <f aca="false">(((((Assumptions!$B$5*8760*$B$21*(1-Assumptions!$B$16)^(21-1)/1000)*$C$21/10)+(-Assumptions!$B$17*(1+Assumptions!$B$18)^(21-1)))+IF(21&lt;=Assumptions!$B$20,-(Assumptions!$B$7*$D$21)/Assumptions!$B$20,0)+IF(21&lt;=Assumptions!$B$12,IPMT(Assumptions!$B$11,21,Assumptions!$B$12,((Assumptions!$B$7*$D$21)*(1-Assumptions!$B$8))),0))+(-MAX(0,((((Assumptions!$B$5*8760*$B$21*(1-Assumptions!$B$16)^(21-1)/1000)*$C$21/10)+(-Assumptions!$B$17*(1+Assumptions!$B$18)^(21-1)))+IF(21&lt;=Assumptions!$B$20,-(Assumptions!$B$7*$D$21)/Assumptions!$B$20,0)+IF(21&lt;=Assumptions!$B$12,IPMT(Assumptions!$B$11,21,Assumptions!$B$12,((Assumptions!$B$7*$D$21)*(1-Assumptions!$B$8))),0)))*Assumptions!$B$19))-(IF(21&lt;=Assumptions!$B$20,-(Assumptions!$B$7*$D$21)/Assumptions!$B$20,0))+(IF(21&lt;=Assumptions!$B$12,PPMT(Assumptions!$B$11,21,Assumptions!$B$12,((Assumptions!$B$7*$D$21)*(1-Assumptions!$B$8))),0))</f>
        <v>3.83748150212402</v>
      </c>
      <c r="X31" s="39" t="n">
        <f aca="false">(((((Assumptions!$B$5*8760*$B$21*(1-Assumptions!$B$16)^(22-1)/1000)*$C$21/10)+(-Assumptions!$B$17*(1+Assumptions!$B$18)^(22-1)))+IF(22&lt;=Assumptions!$B$20,-(Assumptions!$B$7*$D$21)/Assumptions!$B$20,0)+IF(22&lt;=Assumptions!$B$12,IPMT(Assumptions!$B$11,22,Assumptions!$B$12,((Assumptions!$B$7*$D$21)*(1-Assumptions!$B$8))),0))+(-MAX(0,((((Assumptions!$B$5*8760*$B$21*(1-Assumptions!$B$16)^(22-1)/1000)*$C$21/10)+(-Assumptions!$B$17*(1+Assumptions!$B$18)^(22-1)))+IF(22&lt;=Assumptions!$B$20,-(Assumptions!$B$7*$D$21)/Assumptions!$B$20,0)+IF(22&lt;=Assumptions!$B$12,IPMT(Assumptions!$B$11,22,Assumptions!$B$12,((Assumptions!$B$7*$D$21)*(1-Assumptions!$B$8))),0)))*Assumptions!$B$19))-(IF(22&lt;=Assumptions!$B$20,-(Assumptions!$B$7*$D$21)/Assumptions!$B$20,0))+(IF(22&lt;=Assumptions!$B$12,PPMT(Assumptions!$B$11,22,Assumptions!$B$12,((Assumptions!$B$7*$D$21)*(1-Assumptions!$B$8))),0))</f>
        <v>3.7654448294448</v>
      </c>
      <c r="Y31" s="39" t="n">
        <f aca="false">(((((Assumptions!$B$5*8760*$B$21*(1-Assumptions!$B$16)^(23-1)/1000)*$C$21/10)+(-Assumptions!$B$17*(1+Assumptions!$B$18)^(23-1)))+IF(23&lt;=Assumptions!$B$20,-(Assumptions!$B$7*$D$21)/Assumptions!$B$20,0)+IF(23&lt;=Assumptions!$B$12,IPMT(Assumptions!$B$11,23,Assumptions!$B$12,((Assumptions!$B$7*$D$21)*(1-Assumptions!$B$8))),0))+(-MAX(0,((((Assumptions!$B$5*8760*$B$21*(1-Assumptions!$B$16)^(23-1)/1000)*$C$21/10)+(-Assumptions!$B$17*(1+Assumptions!$B$18)^(23-1)))+IF(23&lt;=Assumptions!$B$20,-(Assumptions!$B$7*$D$21)/Assumptions!$B$20,0)+IF(23&lt;=Assumptions!$B$12,IPMT(Assumptions!$B$11,23,Assumptions!$B$12,((Assumptions!$B$7*$D$21)*(1-Assumptions!$B$8))),0)))*Assumptions!$B$19))-(IF(23&lt;=Assumptions!$B$20,-(Assumptions!$B$7*$D$21)/Assumptions!$B$20,0))+(IF(23&lt;=Assumptions!$B$12,PPMT(Assumptions!$B$11,23,Assumptions!$B$12,((Assumptions!$B$7*$D$21)*(1-Assumptions!$B$8))),0))</f>
        <v>3.69103212687054</v>
      </c>
      <c r="Z31" s="39" t="n">
        <f aca="false">(((((Assumptions!$B$5*8760*$B$21*(1-Assumptions!$B$16)^(24-1)/1000)*$C$21/10)+(-Assumptions!$B$17*(1+Assumptions!$B$18)^(24-1)))+IF(24&lt;=Assumptions!$B$20,-(Assumptions!$B$7*$D$21)/Assumptions!$B$20,0)+IF(24&lt;=Assumptions!$B$12,IPMT(Assumptions!$B$11,24,Assumptions!$B$12,((Assumptions!$B$7*$D$21)*(1-Assumptions!$B$8))),0))+(-MAX(0,((((Assumptions!$B$5*8760*$B$21*(1-Assumptions!$B$16)^(24-1)/1000)*$C$21/10)+(-Assumptions!$B$17*(1+Assumptions!$B$18)^(24-1)))+IF(24&lt;=Assumptions!$B$20,-(Assumptions!$B$7*$D$21)/Assumptions!$B$20,0)+IF(24&lt;=Assumptions!$B$12,IPMT(Assumptions!$B$11,24,Assumptions!$B$12,((Assumptions!$B$7*$D$21)*(1-Assumptions!$B$8))),0)))*Assumptions!$B$19))-(IF(24&lt;=Assumptions!$B$20,-(Assumptions!$B$7*$D$21)/Assumptions!$B$20,0))+(IF(24&lt;=Assumptions!$B$12,PPMT(Assumptions!$B$11,24,Assumptions!$B$12,((Assumptions!$B$7*$D$21)*(1-Assumptions!$B$8))),0))</f>
        <v>3.6141184638878</v>
      </c>
      <c r="AA31" s="39" t="n">
        <f aca="false">(((((Assumptions!$B$5*8760*$B$21*(1-Assumptions!$B$16)^(25-1)/1000)*$C$21/10)+(-Assumptions!$B$17*(1+Assumptions!$B$18)^(25-1)))+IF(25&lt;=Assumptions!$B$20,-(Assumptions!$B$7*$D$21)/Assumptions!$B$20,0)+IF(25&lt;=Assumptions!$B$12,IPMT(Assumptions!$B$11,25,Assumptions!$B$12,((Assumptions!$B$7*$D$21)*(1-Assumptions!$B$8))),0))+(-MAX(0,((((Assumptions!$B$5*8760*$B$21*(1-Assumptions!$B$16)^(25-1)/1000)*$C$21/10)+(-Assumptions!$B$17*(1+Assumptions!$B$18)^(25-1)))+IF(25&lt;=Assumptions!$B$20,-(Assumptions!$B$7*$D$21)/Assumptions!$B$20,0)+IF(25&lt;=Assumptions!$B$12,IPMT(Assumptions!$B$11,25,Assumptions!$B$12,((Assumptions!$B$7*$D$21)*(1-Assumptions!$B$8))),0)))*Assumptions!$B$19))-(IF(25&lt;=Assumptions!$B$20,-(Assumptions!$B$7*$D$21)/Assumptions!$B$20,0))+(IF(25&lt;=Assumptions!$B$12,PPMT(Assumptions!$B$11,25,Assumptions!$B$12,((Assumptions!$B$7*$D$21)*(1-Assumptions!$B$8))),0))</f>
        <v>3.53457269410256</v>
      </c>
    </row>
  </sheetData>
  <mergeCells count="12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A14:F14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2026-05-29T08:30:06Z</dcterms:created>
  <dc:creator>openpyxl</dc:creator>
  <dc:description/>
  <dc:language>en-US</dc:language>
  <cp:lastModifiedBy/>
  <dcterms:modified xsi:type="dcterms:W3CDTF">2026-05-29T08:30:06Z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